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ional Total Waste Generation" sheetId="1" r:id="rId4"/>
    <sheet state="visible" name="Quantitative DataSet Descriptio" sheetId="2" r:id="rId5"/>
    <sheet state="visible" name="Municipal Treatment" sheetId="3" r:id="rId6"/>
    <sheet state="visible" name="Household" sheetId="4" r:id="rId7"/>
    <sheet state="visible" name="Construction &amp; Demolition" sheetId="5" r:id="rId8"/>
    <sheet state="visible" name="Packaging" sheetId="6" r:id="rId9"/>
    <sheet state="visible" name="W Electrical &amp; Electronic Equip" sheetId="7" r:id="rId10"/>
    <sheet state="visible" name="Food Waste" sheetId="8" r:id="rId11"/>
    <sheet state="visible" name="Comp &amp; Anaerobic Digestion" sheetId="9" r:id="rId12"/>
    <sheet state="visible" name="End-of-Life Vehicles" sheetId="10" r:id="rId13"/>
    <sheet state="visible" name="Tyres" sheetId="11" r:id="rId14"/>
    <sheet state="visible" name="Hazardous" sheetId="12" r:id="rId15"/>
  </sheets>
  <externalReferences>
    <externalReference r:id="rId16"/>
    <externalReference r:id="rId17"/>
    <externalReference r:id="rId18"/>
    <externalReference r:id="rId19"/>
    <externalReference r:id="rId20"/>
  </externalReferences>
  <definedNames>
    <definedName name="CountyRegion">[1]DropDownLists!$B$2:$C$29</definedName>
    <definedName localSheetId="2" name="dcode">[2]Hidelist!$B$2:$B$13</definedName>
    <definedName name="dcode">[3]Hidelist!$B$2:$B$13</definedName>
    <definedName localSheetId="2" name="EWC">[2]Hidelist!$A$2:$A$724</definedName>
    <definedName name="EWC">[3]Hidelist!$A$2:$A$724</definedName>
    <definedName localSheetId="2" name="EWCs">'[4]ref EWC'!$A$3:$A$991</definedName>
    <definedName name="EWCs">'[5]ref EWC'!$A$3:$A$991</definedName>
    <definedName name="facility.authorisation">[1]DropDownLists!$H$2:$I$614</definedName>
    <definedName name="facility.type">[1]DropDownLists!$K$72:$X$72</definedName>
    <definedName name="LoW">[1]DropDownLists!$K$1:$DZ$1</definedName>
    <definedName name="material_type">[1]DropDownLists!$F$2:$F$32</definedName>
    <definedName localSheetId="2" name="rcode">[2]Hidelist!$C$2:$C$14</definedName>
    <definedName name="rcode">[3]Hidelist!$C$2:$C$14</definedName>
    <definedName name="RD_treatments">[1]DropDownLists!$D$2:$D$45</definedName>
    <definedName localSheetId="2" name="source">[2]Hidelist!$D$2:$D$8</definedName>
    <definedName name="source">[3]Hidelist!$D$2:$D$8</definedName>
    <definedName name="UK_facility_">[1]!UK_facility[UK_facility]</definedName>
    <definedName localSheetId="2" name="yesno">[2]Hidelist!$E$2:$E$4</definedName>
    <definedName name="yesno">[3]Hidelist!$E$2:$E$4</definedName>
    <definedName localSheetId="3" name="Categories">#REF!</definedName>
    <definedName name="Categories">#REF!</definedName>
    <definedName localSheetId="2" name="Categories">#REF!</definedName>
  </definedNames>
  <calcPr/>
  <extLst>
    <ext uri="GoogleSheetsCustomDataVersion2">
      <go:sheetsCustomData xmlns:go="http://customooxmlschemas.google.com/" r:id="rId21" roundtripDataChecksum="KYI6NGCWuHxHJ3xGANBGRp4xZIfCJvn6xi0CaucIi5k="/>
    </ext>
  </extLst>
</workbook>
</file>

<file path=xl/sharedStrings.xml><?xml version="1.0" encoding="utf-8"?>
<sst xmlns="http://schemas.openxmlformats.org/spreadsheetml/2006/main" count="145" uniqueCount="137">
  <si>
    <t>Year</t>
  </si>
  <si>
    <t>Overall Waste Generation CSO (t)</t>
  </si>
  <si>
    <t>Overall Waste Generation EPA (t)</t>
  </si>
  <si>
    <t>01 Chemical compound wastes (t)</t>
  </si>
  <si>
    <t>02 Chemical preparation wastes (t)</t>
  </si>
  <si>
    <t>03 Other chemical wastes (t)</t>
  </si>
  <si>
    <t>05 Health care and biological wastes (t)</t>
  </si>
  <si>
    <t>06 Metallic wastes (t)</t>
  </si>
  <si>
    <t>07 Non-metallic wastes (t)</t>
  </si>
  <si>
    <t>08 Discarded equipment (t)</t>
  </si>
  <si>
    <t>09 Animal and vegetal wastes (t)</t>
  </si>
  <si>
    <t>10 Mixed wastes (t)</t>
  </si>
  <si>
    <t>11 common sludges (t)</t>
  </si>
  <si>
    <t>12 Mineral wastes (t)</t>
  </si>
  <si>
    <t>13 Solidified, stabilised or vitrified waste (t)</t>
  </si>
  <si>
    <t>Dataset</t>
  </si>
  <si>
    <t>Years covered</t>
  </si>
  <si>
    <t>Record</t>
  </si>
  <si>
    <t>Columns</t>
  </si>
  <si>
    <t>Completeness</t>
  </si>
  <si>
    <t>National Waste</t>
  </si>
  <si>
    <t>2015-2023</t>
  </si>
  <si>
    <t>Municipal</t>
  </si>
  <si>
    <t>2013-2023</t>
  </si>
  <si>
    <t>Household</t>
  </si>
  <si>
    <t>Carbon EEA</t>
  </si>
  <si>
    <t>1997-2018 (sample)</t>
  </si>
  <si>
    <t>FAO Production</t>
  </si>
  <si>
    <t>1961-Present</t>
  </si>
  <si>
    <t>FAO Population</t>
  </si>
  <si>
    <t>1950-Present</t>
  </si>
  <si>
    <t>Municipal waste managed (tonnes)</t>
  </si>
  <si>
    <t>Municipal waste generated (tonnes)</t>
  </si>
  <si>
    <t>Disposal to landfill (tonnes)</t>
  </si>
  <si>
    <t>Energy Recovery (tonnes)</t>
  </si>
  <si>
    <t>Compost and Anaerobic Digestion (tonnes)</t>
  </si>
  <si>
    <t>Materials Recycled excluding compost (tonnes)</t>
  </si>
  <si>
    <t>Total recycled including compost (tonnes)</t>
  </si>
  <si>
    <t>Municipal Waste Generated per capita (kg) rounded, based on CSO population estimates</t>
  </si>
  <si>
    <t>Est. total generated household waste (tonnes)</t>
  </si>
  <si>
    <t>Est. unmanaged household waste (tonnes)</t>
  </si>
  <si>
    <t>Household waste managed (tonnes)</t>
  </si>
  <si>
    <t>Household waste per capita (kg/person)</t>
  </si>
  <si>
    <t>General Waste collected - black bin (t)</t>
  </si>
  <si>
    <t>Mixed dry recyclables collected - green or blue bin(t)</t>
  </si>
  <si>
    <t>Organic waste collected - brown bin (t)</t>
  </si>
  <si>
    <t>year</t>
  </si>
  <si>
    <t>Total Construction and Demolition waste (C&amp;D) generated (t)</t>
  </si>
  <si>
    <t>Total Construction and Demolition waste (C&amp;D) collected (t)</t>
  </si>
  <si>
    <t>C&amp;D metal collected (t)</t>
  </si>
  <si>
    <t xml:space="preserve"> C&amp;D Segragated wood, glass &amp; plastic  (t)</t>
  </si>
  <si>
    <t xml:space="preserve"> C&amp;D Concrete, brick, tile &amp; gypsum  (t)</t>
  </si>
  <si>
    <t xml:space="preserve"> C&amp;D Bituminous mixtures  (t)</t>
  </si>
  <si>
    <t>Mixed C&amp;D waste  (t)</t>
  </si>
  <si>
    <t xml:space="preserve"> C&amp;D Soils, stones &amp; dredging spoil  (t)</t>
  </si>
  <si>
    <t>Total C&amp;D treated (t)</t>
  </si>
  <si>
    <t>Total C&amp;D waste recycled (t)</t>
  </si>
  <si>
    <t>Total C&amp;D waste to Energy Recovery (t)</t>
  </si>
  <si>
    <t>Total C&amp;D waste to Backfilling (t)</t>
  </si>
  <si>
    <t>Total C&amp;D waste to Landfill Disposal (t)</t>
  </si>
  <si>
    <t>Total Packaging Waste generated excluding wood repair (t)</t>
  </si>
  <si>
    <t>Plastic Packaging Waste generated (t)</t>
  </si>
  <si>
    <t>Total Recycled excluding wood repair (t)</t>
  </si>
  <si>
    <t>Total Packaging Recycling Rate (%)</t>
  </si>
  <si>
    <t>Plastic Packaging Recycled (t)</t>
  </si>
  <si>
    <t>Plastic Packaging Recyling Rate (%)</t>
  </si>
  <si>
    <t xml:space="preserve">The CEWS team is working to collate a more detailed breakdown of comparible year-on-year packaging waste data, which will be made availiable in the future. </t>
  </si>
  <si>
    <t>Total WEEE collected in Ireland (t)</t>
  </si>
  <si>
    <t>WEEE total recovery (t)</t>
  </si>
  <si>
    <t>WEEE preparation for reuse and recycling (t)</t>
  </si>
  <si>
    <t>EEE Placed on Market* (t)</t>
  </si>
  <si>
    <t>Ireland's collection rate (%)**</t>
  </si>
  <si>
    <t>EU Directive Collection targets (%)</t>
  </si>
  <si>
    <t>*EEE placed on Market (POM) comes from DECC. They get it from Producer Registered Limited (PRL). 2023 EEE POM TBC</t>
  </si>
  <si>
    <t>**WEEE collection rate is measured as the weight of WEEE collected relative to the average weight of electronic equipment put on the market in the three preceding years</t>
  </si>
  <si>
    <t>Total (t)</t>
  </si>
  <si>
    <t>Primary Production (t)</t>
  </si>
  <si>
    <t>Process and Manufacturing (t)</t>
  </si>
  <si>
    <t>Retail and Distribution (t)</t>
  </si>
  <si>
    <t>Restaurants and Food Service (t)</t>
  </si>
  <si>
    <t>Households (t)</t>
  </si>
  <si>
    <t>Municipal bio-waste (kitchen and canteen food waste, garden and park green waste, edible oils and fats) accepted for composting/anaerobic digestion in Ireland (tonnes)</t>
  </si>
  <si>
    <t>total tonnage collected for compost in Ireland*</t>
  </si>
  <si>
    <t xml:space="preserve">wet tonnage collected for compost in Ireland </t>
  </si>
  <si>
    <t>tonnage collected for compost in Ireland - EU submission**</t>
  </si>
  <si>
    <t>total tonnage collected for anaerobic digestion in Ireland*</t>
  </si>
  <si>
    <t>wet tonnage collected for anaerobic digestion in Ireland</t>
  </si>
  <si>
    <t>tonnage collected for anaerobic digestion in Ireland - EU submission**</t>
  </si>
  <si>
    <t>Total tonnage compost + anaerobic digestion in Ireland*</t>
  </si>
  <si>
    <t>Total wet tonnage compost + anaerobic digestion in Ireland</t>
  </si>
  <si>
    <t>tonnage compost + anaerobic digestion in Ireland - EU submission**</t>
  </si>
  <si>
    <t>*Tonnages collected for compost and anaerobic digestion prior to 2022 are currently being validated by the CEWS team and are subject to change</t>
  </si>
  <si>
    <t>**EU Waste Statistic Regulations require sludges to be reported as dry tonnages, while all other waste types are reported as wet tonnages</t>
  </si>
  <si>
    <t>Total number of ELVs (generated waste)</t>
  </si>
  <si>
    <t>Total weight of ELVs (generated waste)(t)</t>
  </si>
  <si>
    <t>Reuse (t)</t>
  </si>
  <si>
    <t>Total recycling (t)</t>
  </si>
  <si>
    <t>Total recovery (t)</t>
  </si>
  <si>
    <t>Total reuse and recycling (t)</t>
  </si>
  <si>
    <t>Total reuse and recovery (t)</t>
  </si>
  <si>
    <t xml:space="preserve">Reuse and recycling % </t>
  </si>
  <si>
    <t xml:space="preserve">Reuse and recovery % </t>
  </si>
  <si>
    <t>EU target % reuse and recycle</t>
  </si>
  <si>
    <t>EU target % reuse and recovery</t>
  </si>
  <si>
    <t>Reference Year</t>
  </si>
  <si>
    <t>Tonnage</t>
  </si>
  <si>
    <t>Hazardous Waste Generated by Treatement  Location</t>
  </si>
  <si>
    <t>Haxardous Waste by Generation Type</t>
  </si>
  <si>
    <t>Hazardous Waste Generated by Sector</t>
  </si>
  <si>
    <t>R and D</t>
  </si>
  <si>
    <t xml:space="preserve">Year </t>
  </si>
  <si>
    <t>Total hazardous waste including soils (t)</t>
  </si>
  <si>
    <t>Total Hazardous Waste excluding soil (t)</t>
  </si>
  <si>
    <t>Total Hazardous Soils (t)</t>
  </si>
  <si>
    <t>Treated at Irish waste facilities, including soils (t)</t>
  </si>
  <si>
    <t>Hazardous waste treated at Irish waste facilities, excluding soils (t)</t>
  </si>
  <si>
    <t>Hazardous soil treated at Irish waste facilities (t)</t>
  </si>
  <si>
    <t>Hazardous Waste Exported for treatment, including soils (t)</t>
  </si>
  <si>
    <t>Hazardous waste exported for treatment excl. soils (t)</t>
  </si>
  <si>
    <t>Hazardous soil exported for treatment (t)</t>
  </si>
  <si>
    <t>Total Hazardous waste treated on-site of generation, no soils (t)</t>
  </si>
  <si>
    <t>Incinerator Bottom Ash (t)</t>
  </si>
  <si>
    <t>Waste Treatment (t)</t>
  </si>
  <si>
    <t>Health Care (t)</t>
  </si>
  <si>
    <t>Soil (t)</t>
  </si>
  <si>
    <t>Solvents (t)</t>
  </si>
  <si>
    <t>WEEE/Discarded Equipment (t)</t>
  </si>
  <si>
    <t>Dredging Spoil (t)</t>
  </si>
  <si>
    <t>Waste Oils (t)</t>
  </si>
  <si>
    <t>Other (t)</t>
  </si>
  <si>
    <t>Sludges and liquid wastes from waste treatment (t)</t>
  </si>
  <si>
    <t>Chemical Reaction Residues (t)</t>
  </si>
  <si>
    <t>Industrial/Other (t)</t>
  </si>
  <si>
    <t>Construction &amp; Demolition (t)</t>
  </si>
  <si>
    <t>Municipal (t)</t>
  </si>
  <si>
    <t>Disposal (t)</t>
  </si>
  <si>
    <t>Recovery (t)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</si>
</sst>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9" xfId="0" applyFont="1" applyNumberFormat="1"/>
    <xf borderId="0" fillId="0" fontId="2" numFmtId="164" xfId="0" applyAlignment="1" applyFont="1" applyNumberFormat="1">
      <alignment shrinkToFit="0" wrapText="1"/>
    </xf>
    <xf borderId="0" fillId="0" fontId="2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2" numFmtId="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Quantitative DataSet Descript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4.xml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Owl\oes\Waste%20Information%20and%20Reporting\National%20Waste%20Database\NWR2017\RO\Ballinrobe%20Waste%20Disposal%20WFP-MO-12-0024-02\Ballinarobe%20Waste%20Disposal%20Ltd_AR_1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MDR0874_National%20Waste%20Statistics%20Framework\6.0%20Data%20and%20Forms\07%20Datasets\Year%202\2012%20Landfill%20Dataset\Final%202011%20Landfill%20Dataset\2011_Landfill%20Dataset_EPA%20edits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lient\C$\MDR0874_National%20Waste%20Statistics%20Framework\6.0%20Data%20and%20Forms\07%20Datasets\Year%202\2012%20Landfill%20Dataset\Final%202011%20Landfill%20Dataset\2011_Landfill%20Dataset_EPA%20edits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ldrive\Temp\Temporary%20Internet%20Files\OLK15\COMPLETE%20Data%20Set%20Industry%20Returns_171105_KATE%20anc_201105c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Owl\ldrive\Temp\Temporary%20Internet%20Files\OLK15\COMPLETE%20Data%20Set%20Industry%20Returns_171105_KATE%20anc_201105c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any Info"/>
      <sheetName val="General Waste"/>
      <sheetName val="Mgmt of waste generated onsite"/>
      <sheetName val="Waste Accepted"/>
      <sheetName val="Waste Transfers"/>
      <sheetName val="Final Treatment"/>
      <sheetName val="Waste Storage"/>
      <sheetName val="NTFSO Brokered"/>
      <sheetName val="Civic Amenity"/>
      <sheetName val="Mass balance"/>
      <sheetName val="DropDownLists"/>
      <sheetName val="Ballinarobe Waste Disposal Ltd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History"/>
      <sheetName val="ALL DATA SHEETS -&gt;"/>
      <sheetName val="W00XX-0X Template"/>
      <sheetName val="W00XX-0X CA Site only"/>
      <sheetName val="C&amp;D landfill summary (MMcD)"/>
      <sheetName val="Sheet2"/>
      <sheetName val="All Data Sheet"/>
      <sheetName val="All Data pivot"/>
      <sheetName val="OUTPUTS -&gt;"/>
      <sheetName val="Landfills in Operation in 2011"/>
      <sheetName val="Totals 2001 - 2011"/>
      <sheetName val="Recovery &amp; Disposal 11 v 10"/>
      <sheetName val="Landfill Infrastructure 2011"/>
      <sheetName val="EPA NWR TABLES -&gt;"/>
      <sheetName val="Hidelist"/>
      <sheetName val="Appendix E"/>
      <sheetName val="Active Municipal Landfills"/>
      <sheetName val="Market Share"/>
      <sheetName val="Disposal capacity_MMcD"/>
      <sheetName val="Amended Table 40"/>
      <sheetName val="Appendix F"/>
      <sheetName val="OEE BMW Oct 2012"/>
      <sheetName val="MSW at all landfills"/>
      <sheetName val="Landfills and Total Tonnage"/>
      <sheetName val="Fly-ti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History"/>
      <sheetName val="ALL DATA SHEETS -&gt;"/>
      <sheetName val="W00XX-0X Template"/>
      <sheetName val="W00XX-0X CA Site only"/>
      <sheetName val="C&amp;D landfill summary (MMcD)"/>
      <sheetName val="Sheet2"/>
      <sheetName val="All Data Sheet"/>
      <sheetName val="All Data pivot"/>
      <sheetName val="OUTPUTS -&gt;"/>
      <sheetName val="Landfills in Operation in 2011"/>
      <sheetName val="Totals 2001 - 2011"/>
      <sheetName val="Recovery &amp; Disposal 11 v 10"/>
      <sheetName val="Landfill Infrastructure 2011"/>
      <sheetName val="EPA NWR TABLES -&gt;"/>
      <sheetName val="Hidelist"/>
      <sheetName val="Appendix E"/>
      <sheetName val="Active Municipal Landfills"/>
      <sheetName val="Market Share"/>
      <sheetName val="Disposal capacity_MMcD"/>
      <sheetName val="Amended Table 40"/>
      <sheetName val="Appendix F"/>
      <sheetName val="OEE BMW Oct 2012"/>
      <sheetName val="MSW at all landfills"/>
      <sheetName val="Landfills and Total Tonnage"/>
      <sheetName val="Fly-ti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alysis"/>
      <sheetName val="Returns not entered"/>
      <sheetName val="Summary"/>
      <sheetName val="Shortcuts"/>
      <sheetName val="Sandpit"/>
      <sheetName val="ref EWC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alysis"/>
      <sheetName val="Returns not entered"/>
      <sheetName val="Summary"/>
      <sheetName val="Shortcuts"/>
      <sheetName val="Sandpit"/>
      <sheetName val="ref EWC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ref="A1:E15" displayName="Table1" name="Table1" id="1">
  <tableColumns count="5">
    <tableColumn name="Dataset" id="1"/>
    <tableColumn name="Years covered" id="2"/>
    <tableColumn name="Record" id="3"/>
    <tableColumn name="Columns" id="4"/>
    <tableColumn name="Completeness" id="5"/>
  </tableColumns>
  <tableStyleInfo name="Quantitative DataSet Descript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29"/>
    <col customWidth="1" min="3" max="3" width="30.14"/>
    <col customWidth="1" min="4" max="4" width="30.43"/>
    <col customWidth="1" min="5" max="5" width="31.29"/>
    <col customWidth="1" min="6" max="6" width="25.71"/>
    <col customWidth="1" min="7" max="7" width="35.14"/>
    <col customWidth="1" min="8" max="8" width="19.43"/>
    <col customWidth="1" min="9" max="9" width="23.86"/>
    <col customWidth="1" min="10" max="10" width="24.86"/>
    <col customWidth="1" min="11" max="11" width="29.43"/>
    <col customWidth="1" min="12" max="12" width="17.86"/>
    <col customWidth="1" min="13" max="13" width="20.57"/>
    <col customWidth="1" min="14" max="14" width="19.14"/>
    <col customWidth="1" min="15" max="15" width="39.57"/>
    <col customWidth="1" min="16" max="26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2012.0</v>
      </c>
      <c r="B2" s="1">
        <v>1.2713021E7</v>
      </c>
    </row>
    <row r="3">
      <c r="A3" s="1">
        <v>2013.0</v>
      </c>
    </row>
    <row r="4">
      <c r="A4" s="1">
        <v>2014.0</v>
      </c>
      <c r="B4" s="1">
        <v>1.516683E7</v>
      </c>
    </row>
    <row r="5">
      <c r="A5" s="1">
        <v>2015.0</v>
      </c>
    </row>
    <row r="6">
      <c r="A6" s="1">
        <v>2016.0</v>
      </c>
      <c r="B6" s="1">
        <v>1.5251689E7</v>
      </c>
    </row>
    <row r="7">
      <c r="A7" s="1">
        <v>2017.0</v>
      </c>
    </row>
    <row r="8">
      <c r="A8" s="1">
        <v>2018.0</v>
      </c>
      <c r="B8" s="1">
        <v>1.3986757E7</v>
      </c>
    </row>
    <row r="9">
      <c r="A9" s="1">
        <v>2019.0</v>
      </c>
    </row>
    <row r="10">
      <c r="A10" s="1">
        <v>2020.0</v>
      </c>
      <c r="B10" s="1">
        <v>1.6192033E7</v>
      </c>
    </row>
    <row r="11">
      <c r="A11" s="1">
        <v>2021.0</v>
      </c>
      <c r="C11" s="1">
        <v>1.7597245E7</v>
      </c>
      <c r="D11" s="1">
        <v>97988.0</v>
      </c>
      <c r="E11" s="1">
        <v>76994.0</v>
      </c>
      <c r="F11" s="1">
        <v>156156.0</v>
      </c>
      <c r="G11" s="1">
        <v>22836.0</v>
      </c>
      <c r="H11" s="1">
        <v>550842.0</v>
      </c>
      <c r="I11" s="1">
        <v>2296963.0</v>
      </c>
      <c r="J11" s="1">
        <v>194853.0</v>
      </c>
      <c r="K11" s="1">
        <v>1111868.0</v>
      </c>
      <c r="L11" s="1">
        <v>733824.0</v>
      </c>
      <c r="M11" s="1">
        <v>415298.0</v>
      </c>
      <c r="N11" s="1">
        <v>1.1939624E7</v>
      </c>
    </row>
    <row r="12">
      <c r="A12" s="1">
        <v>2022.0</v>
      </c>
      <c r="C12" s="2">
        <v>1.5678131275099993E7</v>
      </c>
      <c r="D12" s="2">
        <v>99462.26253156524</v>
      </c>
      <c r="E12" s="2">
        <v>17665.638</v>
      </c>
      <c r="F12" s="2">
        <v>222311.05736843476</v>
      </c>
      <c r="G12" s="2">
        <v>26924.008900000004</v>
      </c>
      <c r="H12" s="2">
        <v>463093.70239999995</v>
      </c>
      <c r="I12" s="2">
        <v>2124105.7139999997</v>
      </c>
      <c r="J12" s="2">
        <v>237050.67299999995</v>
      </c>
      <c r="K12" s="2">
        <v>1132969.7619999999</v>
      </c>
      <c r="L12" s="2">
        <v>884042.2420000001</v>
      </c>
      <c r="M12" s="2">
        <v>424221.916</v>
      </c>
      <c r="N12" s="2">
        <v>1.0046284298899993E7</v>
      </c>
    </row>
    <row r="13">
      <c r="A13" s="1">
        <v>2023.0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5.86"/>
  </cols>
  <sheetData>
    <row r="1" ht="22.5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ht="22.5" customHeight="1">
      <c r="A2" s="4" t="s">
        <v>20</v>
      </c>
      <c r="B2" s="4" t="s">
        <v>21</v>
      </c>
      <c r="C2" s="5"/>
      <c r="D2" s="5"/>
      <c r="E2" s="5"/>
    </row>
    <row r="3" ht="22.5" customHeight="1">
      <c r="A3" s="4" t="s">
        <v>22</v>
      </c>
      <c r="B3" s="4" t="s">
        <v>23</v>
      </c>
      <c r="C3" s="5"/>
      <c r="D3" s="5"/>
      <c r="E3" s="5"/>
    </row>
    <row r="4" ht="22.5" customHeight="1">
      <c r="A4" s="4" t="s">
        <v>24</v>
      </c>
      <c r="B4" s="4" t="s">
        <v>23</v>
      </c>
      <c r="C4" s="5"/>
      <c r="D4" s="5"/>
      <c r="E4" s="5"/>
    </row>
    <row r="5" ht="22.5" customHeight="1">
      <c r="A5" s="4" t="s">
        <v>25</v>
      </c>
      <c r="B5" s="4" t="s">
        <v>26</v>
      </c>
      <c r="C5" s="5"/>
      <c r="D5" s="5"/>
      <c r="E5" s="5"/>
    </row>
    <row r="6" ht="22.5" customHeight="1">
      <c r="A6" s="4" t="s">
        <v>27</v>
      </c>
      <c r="B6" s="4" t="s">
        <v>28</v>
      </c>
      <c r="C6" s="5"/>
      <c r="D6" s="5"/>
      <c r="E6" s="5"/>
    </row>
    <row r="7" ht="22.5" customHeight="1">
      <c r="A7" s="6" t="s">
        <v>29</v>
      </c>
      <c r="B7" s="4" t="s">
        <v>30</v>
      </c>
      <c r="C7" s="5"/>
      <c r="D7" s="5"/>
      <c r="E7" s="5"/>
    </row>
    <row r="8" ht="22.5" customHeight="1">
      <c r="A8" s="5"/>
      <c r="B8" s="5"/>
      <c r="C8" s="5"/>
      <c r="D8" s="5"/>
      <c r="E8" s="5"/>
    </row>
    <row r="9" ht="22.5" customHeight="1">
      <c r="A9" s="5"/>
      <c r="B9" s="5"/>
      <c r="C9" s="5"/>
      <c r="D9" s="5"/>
      <c r="E9" s="5"/>
    </row>
    <row r="10" ht="22.5" customHeight="1">
      <c r="A10" s="5"/>
      <c r="B10" s="5"/>
      <c r="C10" s="5"/>
      <c r="D10" s="5"/>
      <c r="E10" s="5"/>
    </row>
    <row r="11" ht="22.5" customHeight="1">
      <c r="A11" s="5"/>
      <c r="B11" s="5"/>
      <c r="C11" s="5"/>
      <c r="D11" s="5"/>
      <c r="E11" s="5"/>
    </row>
    <row r="12" ht="22.5" customHeight="1">
      <c r="A12" s="5"/>
      <c r="B12" s="5"/>
      <c r="C12" s="5"/>
      <c r="D12" s="5"/>
      <c r="E12" s="5"/>
    </row>
    <row r="13" ht="22.5" customHeight="1">
      <c r="A13" s="5"/>
      <c r="B13" s="5"/>
      <c r="C13" s="5"/>
      <c r="D13" s="5"/>
      <c r="E13" s="5"/>
    </row>
    <row r="14" ht="22.5" customHeight="1">
      <c r="A14" s="5"/>
      <c r="B14" s="5"/>
      <c r="C14" s="5"/>
      <c r="D14" s="5"/>
      <c r="E14" s="5"/>
    </row>
    <row r="15" ht="22.5" customHeight="1">
      <c r="A15" s="5"/>
      <c r="B15" s="5"/>
      <c r="C15" s="5"/>
      <c r="D15" s="5"/>
      <c r="E15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6.0"/>
    <col customWidth="1" min="3" max="3" width="36.71"/>
    <col customWidth="1" min="4" max="4" width="29.0"/>
    <col customWidth="1" min="5" max="5" width="25.0"/>
    <col customWidth="1" min="6" max="6" width="43.0"/>
    <col customWidth="1" min="7" max="7" width="47.14"/>
    <col customWidth="1" min="8" max="8" width="41.71"/>
    <col customWidth="1" min="9" max="9" width="12.71"/>
    <col customWidth="1" min="10" max="26" width="8.71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>
      <c r="A2" s="1">
        <v>2001.0</v>
      </c>
      <c r="B2" s="2">
        <v>2376072.0</v>
      </c>
      <c r="C2" s="2"/>
      <c r="D2" s="2">
        <v>1992050.0</v>
      </c>
      <c r="E2" s="2"/>
      <c r="F2" s="2">
        <v>22000.0</v>
      </c>
      <c r="G2" s="2">
        <v>283554.0</v>
      </c>
      <c r="H2" s="2">
        <v>305554.0</v>
      </c>
    </row>
    <row r="3">
      <c r="A3" s="1">
        <v>2002.0</v>
      </c>
      <c r="B3" s="2">
        <v>2471617.0</v>
      </c>
      <c r="C3" s="2"/>
      <c r="D3" s="2">
        <v>1901864.0</v>
      </c>
      <c r="E3" s="2"/>
      <c r="F3" s="2">
        <v>34000.0</v>
      </c>
      <c r="G3" s="2">
        <v>462905.0</v>
      </c>
      <c r="H3" s="2">
        <v>496905.0</v>
      </c>
    </row>
    <row r="4">
      <c r="A4" s="1">
        <v>2003.0</v>
      </c>
      <c r="B4" s="2">
        <v>2630592.0</v>
      </c>
      <c r="C4" s="2"/>
      <c r="D4" s="2">
        <v>1832624.0</v>
      </c>
      <c r="E4" s="2"/>
      <c r="F4" s="2">
        <v>40000.0</v>
      </c>
      <c r="G4" s="2">
        <v>686763.0</v>
      </c>
      <c r="H4" s="2">
        <v>726763.0</v>
      </c>
    </row>
    <row r="5">
      <c r="A5" s="1">
        <v>2004.0</v>
      </c>
      <c r="B5" s="2">
        <v>2773264.0</v>
      </c>
      <c r="C5" s="2"/>
      <c r="D5" s="2">
        <v>1818536.0</v>
      </c>
      <c r="E5" s="2"/>
      <c r="F5" s="2">
        <v>49580.0</v>
      </c>
      <c r="G5" s="2">
        <v>835488.0</v>
      </c>
      <c r="H5" s="2">
        <v>885068.0</v>
      </c>
    </row>
    <row r="6">
      <c r="A6" s="1">
        <v>2005.0</v>
      </c>
      <c r="B6" s="2">
        <v>2837774.0</v>
      </c>
      <c r="C6" s="2"/>
      <c r="D6" s="2">
        <v>1824066.0</v>
      </c>
      <c r="E6" s="2"/>
      <c r="F6" s="2">
        <v>47800.0</v>
      </c>
      <c r="G6" s="2">
        <v>876227.0000000001</v>
      </c>
      <c r="H6" s="2">
        <v>924027.0</v>
      </c>
    </row>
    <row r="7">
      <c r="A7" s="1">
        <v>2006.0</v>
      </c>
      <c r="B7" s="2">
        <v>3209132.0</v>
      </c>
      <c r="C7" s="2"/>
      <c r="D7" s="2">
        <v>1980618.0</v>
      </c>
      <c r="E7" s="2"/>
      <c r="F7" s="2">
        <v>55350.0</v>
      </c>
      <c r="G7" s="2">
        <v>1064342.0</v>
      </c>
      <c r="H7" s="2">
        <v>1119692.0</v>
      </c>
    </row>
    <row r="8">
      <c r="A8" s="1">
        <v>2007.0</v>
      </c>
      <c r="B8" s="2">
        <v>3299704.0</v>
      </c>
      <c r="C8" s="2"/>
      <c r="D8" s="2">
        <v>2014797.0</v>
      </c>
      <c r="E8" s="2"/>
      <c r="F8" s="2">
        <v>78620.0</v>
      </c>
      <c r="G8" s="2">
        <v>1081147.0</v>
      </c>
      <c r="H8" s="2">
        <v>1159767.0</v>
      </c>
    </row>
    <row r="9">
      <c r="A9" s="1">
        <v>2008.0</v>
      </c>
      <c r="B9" s="2">
        <v>3103820.0</v>
      </c>
      <c r="C9" s="2"/>
      <c r="D9" s="2">
        <v>1938712.0</v>
      </c>
      <c r="E9" s="2">
        <v>88574.0</v>
      </c>
      <c r="F9" s="2">
        <v>106670.0</v>
      </c>
      <c r="G9" s="2">
        <v>976861.9999999999</v>
      </c>
      <c r="H9" s="2">
        <v>1083532.0</v>
      </c>
    </row>
    <row r="10">
      <c r="A10" s="1">
        <v>2009.0</v>
      </c>
      <c r="B10" s="2">
        <v>2824977.0</v>
      </c>
      <c r="C10" s="2"/>
      <c r="D10" s="2">
        <v>1723705.0</v>
      </c>
      <c r="E10" s="2">
        <v>111000.0</v>
      </c>
      <c r="F10" s="2">
        <v>88100.0</v>
      </c>
      <c r="G10" s="2">
        <v>902221.9999999999</v>
      </c>
      <c r="H10" s="2">
        <v>990322.0</v>
      </c>
    </row>
    <row r="11">
      <c r="A11" s="1">
        <v>2010.0</v>
      </c>
      <c r="B11" s="2">
        <v>2580434.0</v>
      </c>
      <c r="C11" s="2">
        <v>2846115.0</v>
      </c>
      <c r="D11" s="2">
        <v>1495565.0</v>
      </c>
      <c r="E11" s="2">
        <v>109000.0</v>
      </c>
      <c r="F11" s="2">
        <v>107000.0</v>
      </c>
      <c r="G11" s="2">
        <v>910000.0</v>
      </c>
      <c r="H11" s="2">
        <v>1017000.0</v>
      </c>
      <c r="I11" s="1">
        <v>620.0</v>
      </c>
    </row>
    <row r="12">
      <c r="A12" s="1">
        <v>2011.0</v>
      </c>
      <c r="B12" s="2">
        <v>2546577.0</v>
      </c>
      <c r="C12" s="2">
        <v>2823242.0</v>
      </c>
      <c r="D12" s="2">
        <v>1344008.0</v>
      </c>
      <c r="E12" s="2">
        <v>196000.0</v>
      </c>
      <c r="F12" s="2">
        <v>157000.0</v>
      </c>
      <c r="G12" s="2">
        <v>861000.0</v>
      </c>
      <c r="H12" s="2">
        <v>1018000.0</v>
      </c>
      <c r="I12" s="1">
        <v>620.0</v>
      </c>
    </row>
    <row r="13">
      <c r="A13" s="1">
        <v>2012.0</v>
      </c>
      <c r="B13" s="2">
        <v>2478337.0</v>
      </c>
      <c r="C13" s="2">
        <v>2692537.0</v>
      </c>
      <c r="D13" s="2">
        <v>1027577.0</v>
      </c>
      <c r="E13" s="2">
        <v>427093.0</v>
      </c>
      <c r="F13" s="2">
        <v>156212.0</v>
      </c>
      <c r="G13" s="2">
        <v>828492.0</v>
      </c>
      <c r="H13" s="2">
        <v>984704.0</v>
      </c>
      <c r="I13" s="1">
        <v>590.0</v>
      </c>
    </row>
    <row r="14">
      <c r="A14" s="1">
        <v>2013.0</v>
      </c>
      <c r="B14" s="2"/>
      <c r="C14" s="2"/>
      <c r="D14" s="2"/>
      <c r="E14" s="2"/>
      <c r="F14" s="2"/>
      <c r="G14" s="2"/>
      <c r="H14" s="2"/>
    </row>
    <row r="15">
      <c r="A15" s="1">
        <v>2014.0</v>
      </c>
      <c r="B15" s="2">
        <v>2575217.7870899984</v>
      </c>
      <c r="C15" s="2">
        <v>2619023.0</v>
      </c>
      <c r="D15" s="2">
        <v>536530.0</v>
      </c>
      <c r="E15" s="2">
        <v>893030.0</v>
      </c>
      <c r="F15" s="2">
        <v>180017.0</v>
      </c>
      <c r="G15" s="2">
        <v>863172.0</v>
      </c>
      <c r="H15" s="2">
        <v>1043189.0</v>
      </c>
      <c r="I15" s="1">
        <v>560.0</v>
      </c>
    </row>
    <row r="16">
      <c r="A16" s="1">
        <v>2015.0</v>
      </c>
      <c r="B16" s="2"/>
      <c r="C16" s="2"/>
      <c r="D16" s="2"/>
      <c r="E16" s="2"/>
      <c r="F16" s="2"/>
      <c r="G16" s="2"/>
      <c r="H16" s="2"/>
    </row>
    <row r="17">
      <c r="A17" s="1">
        <v>2016.0</v>
      </c>
      <c r="B17" s="2">
        <v>2718299.0</v>
      </c>
      <c r="C17" s="2">
        <v>2763166.0</v>
      </c>
      <c r="D17" s="2">
        <v>710805.0</v>
      </c>
      <c r="E17" s="2">
        <v>810612.0</v>
      </c>
      <c r="F17" s="2">
        <v>189874.0</v>
      </c>
      <c r="G17" s="2">
        <v>935250.0</v>
      </c>
      <c r="H17" s="2">
        <v>1125124.0</v>
      </c>
      <c r="I17" s="1">
        <v>580.0</v>
      </c>
    </row>
    <row r="18">
      <c r="A18" s="1">
        <v>2017.0</v>
      </c>
      <c r="B18" s="2">
        <v>2723542.7050199998</v>
      </c>
      <c r="C18" s="2">
        <v>2768043.0</v>
      </c>
      <c r="D18" s="2">
        <v>622882.0</v>
      </c>
      <c r="E18" s="2">
        <v>880849.0</v>
      </c>
      <c r="F18" s="2">
        <v>246341.0</v>
      </c>
      <c r="G18" s="2">
        <v>871855.219515</v>
      </c>
      <c r="H18" s="2">
        <v>1118196.0</v>
      </c>
      <c r="I18" s="1">
        <v>580.0</v>
      </c>
    </row>
    <row r="19">
      <c r="A19" s="1">
        <v>2018.0</v>
      </c>
      <c r="B19" s="2">
        <v>2865206.77963</v>
      </c>
      <c r="C19" s="2">
        <v>2912353.0706299995</v>
      </c>
      <c r="D19" s="2">
        <v>418029.0795438054</v>
      </c>
      <c r="E19" s="2">
        <v>1243309.860932</v>
      </c>
      <c r="F19" s="2">
        <v>245482.0</v>
      </c>
      <c r="G19" s="2">
        <v>851293.5454980001</v>
      </c>
      <c r="H19" s="2">
        <v>1096776.0</v>
      </c>
      <c r="I19" s="1">
        <v>600.0</v>
      </c>
    </row>
    <row r="20">
      <c r="A20" s="1">
        <v>2019.0</v>
      </c>
      <c r="B20" s="2">
        <v>3036992.0</v>
      </c>
      <c r="C20" s="2">
        <v>3085652.0</v>
      </c>
      <c r="D20" s="2">
        <v>471594.0</v>
      </c>
      <c r="E20" s="2">
        <v>1412589.0</v>
      </c>
      <c r="F20" s="2">
        <v>295314.0</v>
      </c>
      <c r="G20" s="2">
        <v>857792.6748850001</v>
      </c>
      <c r="H20" s="2">
        <v>1153107.0</v>
      </c>
      <c r="I20" s="1">
        <v>620.0</v>
      </c>
    </row>
    <row r="21" ht="15.75" customHeight="1">
      <c r="A21" s="1">
        <v>2020.0</v>
      </c>
      <c r="B21" s="2">
        <v>3181120.0</v>
      </c>
      <c r="C21" s="2">
        <v>3210220.0</v>
      </c>
      <c r="D21" s="2">
        <v>517301.0</v>
      </c>
      <c r="E21" s="2">
        <v>1352727.0</v>
      </c>
      <c r="F21" s="2">
        <v>351204.0</v>
      </c>
      <c r="G21" s="2">
        <v>959100.0</v>
      </c>
      <c r="H21" s="2">
        <v>1310304.0</v>
      </c>
      <c r="I21" s="1">
        <v>640.0</v>
      </c>
    </row>
    <row r="22" ht="15.75" customHeight="1">
      <c r="A22" s="1">
        <v>2021.0</v>
      </c>
      <c r="B22" s="2">
        <v>3144788.0</v>
      </c>
      <c r="C22" s="2">
        <v>3170388.0</v>
      </c>
      <c r="D22" s="2">
        <v>504305.0</v>
      </c>
      <c r="E22" s="2">
        <v>1312957.0</v>
      </c>
      <c r="F22" s="2">
        <v>487594.0</v>
      </c>
      <c r="G22" s="2">
        <v>824969.0</v>
      </c>
      <c r="H22" s="2">
        <v>1312563.0</v>
      </c>
      <c r="I22" s="1">
        <v>620.0</v>
      </c>
    </row>
    <row r="23" ht="15.75" customHeight="1">
      <c r="A23" s="1">
        <v>2022.0</v>
      </c>
      <c r="B23" s="2">
        <v>3151153.90360439</v>
      </c>
      <c r="C23" s="2">
        <v>3190823.9036043882</v>
      </c>
      <c r="D23" s="2">
        <v>459295.0789064368</v>
      </c>
      <c r="E23" s="2">
        <v>1364103.8096444064</v>
      </c>
      <c r="F23" s="2">
        <v>480344.7487257904</v>
      </c>
      <c r="G23" s="2">
        <v>825669.3928978</v>
      </c>
      <c r="H23" s="2">
        <v>1306014.1416235904</v>
      </c>
      <c r="I23" s="1">
        <v>620.0</v>
      </c>
    </row>
    <row r="24" ht="15.75" customHeight="1">
      <c r="A24" s="7">
        <v>2023.0</v>
      </c>
      <c r="B24" s="7">
        <v>3134840.0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/>
    <row r="26" ht="15.75" customHeight="1"/>
    <row r="27" ht="15.75" customHeight="1"/>
    <row r="28" ht="15.75" customHeight="1"/>
    <row r="29" ht="15.75" customHeight="1">
      <c r="B29" s="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0"/>
  </cols>
  <sheetData>
    <row r="1">
      <c r="A1" s="10" t="s">
        <v>0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</row>
    <row r="2">
      <c r="A2" s="1">
        <v>2010.0</v>
      </c>
      <c r="B2" s="2"/>
      <c r="C2" s="2"/>
      <c r="D2" s="2">
        <v>1420706.0</v>
      </c>
      <c r="E2" s="2">
        <v>311.914024765083</v>
      </c>
      <c r="F2" s="2"/>
      <c r="G2" s="2"/>
      <c r="H2" s="2"/>
    </row>
    <row r="3">
      <c r="A3" s="1">
        <v>2011.0</v>
      </c>
      <c r="B3" s="2"/>
      <c r="C3" s="2"/>
      <c r="D3" s="2">
        <v>1406576.0</v>
      </c>
      <c r="E3" s="2">
        <v>307.45502633937355</v>
      </c>
      <c r="F3" s="2"/>
      <c r="G3" s="2"/>
      <c r="H3" s="2"/>
    </row>
    <row r="4">
      <c r="A4" s="1">
        <v>2012.0</v>
      </c>
      <c r="B4" s="2"/>
      <c r="C4" s="2"/>
      <c r="D4" s="2">
        <v>1362900.0</v>
      </c>
      <c r="E4" s="2">
        <v>296.6889435531271</v>
      </c>
      <c r="F4" s="2"/>
      <c r="G4" s="2"/>
      <c r="H4" s="2"/>
    </row>
    <row r="5">
      <c r="A5" s="1">
        <v>2013.0</v>
      </c>
      <c r="B5" s="2"/>
      <c r="C5" s="2"/>
      <c r="D5" s="2">
        <v>1398156.0</v>
      </c>
      <c r="E5" s="2">
        <v>302.97874184670724</v>
      </c>
      <c r="F5" s="2"/>
      <c r="G5" s="2"/>
      <c r="H5" s="2"/>
    </row>
    <row r="6">
      <c r="A6" s="1">
        <v>2014.0</v>
      </c>
      <c r="B6" s="2"/>
      <c r="C6" s="2"/>
      <c r="D6" s="2">
        <v>1426123.0</v>
      </c>
      <c r="E6" s="2">
        <v>306.9968140526112</v>
      </c>
      <c r="F6" s="2"/>
      <c r="G6" s="2"/>
      <c r="H6" s="2"/>
    </row>
    <row r="7">
      <c r="A7" s="1">
        <v>2015.0</v>
      </c>
      <c r="B7" s="2"/>
      <c r="C7" s="2"/>
      <c r="D7" s="2">
        <v>1416444.0</v>
      </c>
      <c r="E7" s="2">
        <v>302.15538205554844</v>
      </c>
      <c r="F7" s="2">
        <v>700910.9180000001</v>
      </c>
      <c r="G7" s="2">
        <v>254253.87</v>
      </c>
      <c r="H7" s="2">
        <v>102003.25399999999</v>
      </c>
    </row>
    <row r="8">
      <c r="A8" s="1">
        <v>2016.0</v>
      </c>
      <c r="B8" s="2"/>
      <c r="C8" s="2"/>
      <c r="D8" s="2">
        <v>1450727.0</v>
      </c>
      <c r="E8" s="2">
        <v>306.08637859735</v>
      </c>
      <c r="F8" s="2">
        <v>681026.5</v>
      </c>
      <c r="G8" s="2">
        <v>253328.36000000002</v>
      </c>
      <c r="H8" s="2">
        <v>112463.89000000003</v>
      </c>
    </row>
    <row r="9">
      <c r="A9" s="1">
        <v>2017.0</v>
      </c>
      <c r="B9" s="2"/>
      <c r="C9" s="2"/>
      <c r="D9" s="2">
        <v>1495210.0</v>
      </c>
      <c r="E9" s="2">
        <v>310.79631669749944</v>
      </c>
      <c r="F9" s="2">
        <v>661100.91</v>
      </c>
      <c r="G9" s="2">
        <v>253657.86000000004</v>
      </c>
      <c r="H9" s="2">
        <v>129081.18</v>
      </c>
    </row>
    <row r="10">
      <c r="A10" s="1">
        <v>2018.0</v>
      </c>
      <c r="B10" s="2">
        <f t="shared" ref="B10:B14" si="1">C10+D10</f>
        <v>1576197</v>
      </c>
      <c r="C10" s="2">
        <v>47307.0</v>
      </c>
      <c r="D10" s="2">
        <v>1528890.0</v>
      </c>
      <c r="E10" s="2">
        <v>312.98286556531355</v>
      </c>
      <c r="F10" s="2">
        <v>675763.79</v>
      </c>
      <c r="G10" s="2">
        <v>249227.16999999998</v>
      </c>
      <c r="H10" s="2">
        <v>137031.87</v>
      </c>
    </row>
    <row r="11">
      <c r="A11" s="1">
        <v>2019.0</v>
      </c>
      <c r="B11" s="2">
        <f t="shared" si="1"/>
        <v>1622008</v>
      </c>
      <c r="C11" s="2">
        <v>48660.0</v>
      </c>
      <c r="D11" s="2">
        <v>1573348.0</v>
      </c>
      <c r="E11" s="2">
        <v>317.30321669859836</v>
      </c>
      <c r="F11" s="2">
        <v>634824.62</v>
      </c>
      <c r="G11" s="2">
        <v>243547.83</v>
      </c>
      <c r="H11" s="2">
        <v>159384.72999999998</v>
      </c>
    </row>
    <row r="12">
      <c r="A12" s="1">
        <v>2020.0</v>
      </c>
      <c r="B12" s="2">
        <f t="shared" si="1"/>
        <v>1885396.543</v>
      </c>
      <c r="C12" s="2">
        <v>31700.0</v>
      </c>
      <c r="D12" s="2">
        <v>1853696.54315</v>
      </c>
      <c r="E12" s="2">
        <v>368.5354665400903</v>
      </c>
      <c r="F12" s="2">
        <v>722910.5</v>
      </c>
      <c r="G12" s="2">
        <v>267590.42</v>
      </c>
      <c r="H12" s="2">
        <v>199822.71999999997</v>
      </c>
    </row>
    <row r="13">
      <c r="A13" s="1">
        <v>2021.0</v>
      </c>
      <c r="B13" s="2">
        <f t="shared" si="1"/>
        <v>1837215</v>
      </c>
      <c r="C13" s="2">
        <v>25700.0</v>
      </c>
      <c r="D13" s="2">
        <v>1811515.0</v>
      </c>
      <c r="E13" s="2">
        <v>356.96987014010676</v>
      </c>
      <c r="F13" s="2">
        <v>699961.0900000001</v>
      </c>
      <c r="G13" s="2">
        <v>263938.58</v>
      </c>
      <c r="H13" s="2">
        <v>208718.84</v>
      </c>
    </row>
    <row r="14">
      <c r="A14" s="1">
        <v>2022.0</v>
      </c>
      <c r="B14" s="2">
        <f t="shared" si="1"/>
        <v>1800592</v>
      </c>
      <c r="C14" s="2">
        <v>36970.0</v>
      </c>
      <c r="D14" s="1">
        <v>1763622.0</v>
      </c>
      <c r="E14" s="2">
        <v>340.2048611111111</v>
      </c>
      <c r="F14" s="1">
        <v>711463.0</v>
      </c>
      <c r="G14" s="1">
        <v>256517.0</v>
      </c>
      <c r="H14" s="1">
        <v>197518.0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.0"/>
    <col customWidth="1" min="2" max="3" width="56.86"/>
    <col customWidth="1" min="4" max="4" width="23.0"/>
    <col customWidth="1" min="5" max="5" width="39.14"/>
    <col customWidth="1" min="6" max="6" width="35.57"/>
    <col customWidth="1" min="7" max="7" width="27.71"/>
    <col customWidth="1" min="8" max="8" width="19.71"/>
    <col customWidth="1" min="9" max="9" width="36.29"/>
    <col customWidth="1" min="10" max="10" width="11.57"/>
    <col customWidth="1" min="11" max="11" width="19.57"/>
    <col customWidth="1" min="12" max="12" width="26.29"/>
    <col customWidth="1" min="13" max="13" width="35.71"/>
    <col customWidth="1" min="14" max="14" width="31.29"/>
    <col customWidth="1" min="15" max="15" width="37.29"/>
    <col customWidth="1" min="16" max="26" width="8.71"/>
  </cols>
  <sheetData>
    <row r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</row>
    <row r="2">
      <c r="A2" s="1">
        <v>2004.0</v>
      </c>
      <c r="B2" s="2">
        <v>1.1167599E7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1">
        <v>2005.0</v>
      </c>
      <c r="B3" s="2">
        <v>1.4931486E7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1">
        <v>2006.0</v>
      </c>
      <c r="B4" s="2">
        <v>1.6819904E7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1">
        <v>2007.0</v>
      </c>
      <c r="B5" s="2">
        <v>1.7791745E7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1">
        <v>2008.0</v>
      </c>
      <c r="B6" s="2">
        <v>1.35E7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>
      <c r="A7" s="1">
        <v>2009.0</v>
      </c>
      <c r="B7" s="2">
        <v>5093666.0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1">
        <v>2010.0</v>
      </c>
      <c r="B8" s="2">
        <v>3464683.0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1">
        <v>2011.0</v>
      </c>
      <c r="B9" s="2">
        <v>3003691.0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1">
        <v>2012.0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1">
        <v>2013.0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1">
        <v>2014.0</v>
      </c>
      <c r="B12" s="2"/>
      <c r="C12" s="2">
        <v>3313858.0</v>
      </c>
      <c r="D12" s="2"/>
      <c r="E12" s="2"/>
      <c r="F12" s="2"/>
      <c r="G12" s="2"/>
      <c r="H12" s="2"/>
      <c r="I12" s="2"/>
      <c r="J12" s="2"/>
      <c r="K12" s="2">
        <v>3313858.0</v>
      </c>
      <c r="L12" s="2">
        <v>452266.0</v>
      </c>
      <c r="M12" s="2">
        <v>866.0</v>
      </c>
      <c r="N12" s="2">
        <v>2789552.0</v>
      </c>
      <c r="O12" s="2">
        <v>71174.0</v>
      </c>
    </row>
    <row r="13">
      <c r="A13" s="1">
        <v>2015.0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1">
        <v>2016.0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1">
        <v>2017.0</v>
      </c>
      <c r="B15" s="2"/>
      <c r="C15" s="2">
        <v>4749700.0</v>
      </c>
      <c r="D15" s="2">
        <v>182000.0</v>
      </c>
      <c r="E15" s="2">
        <v>18900.0</v>
      </c>
      <c r="F15" s="2">
        <v>312500.0</v>
      </c>
      <c r="G15" s="2">
        <v>40700.0</v>
      </c>
      <c r="H15" s="2">
        <v>368500.0</v>
      </c>
      <c r="I15" s="2">
        <v>3827100.0</v>
      </c>
      <c r="J15" s="2"/>
      <c r="K15" s="2"/>
      <c r="L15" s="2"/>
      <c r="M15" s="2"/>
      <c r="N15" s="2"/>
      <c r="O15" s="2"/>
    </row>
    <row r="16">
      <c r="A16" s="1">
        <v>2018.0</v>
      </c>
      <c r="B16" s="2"/>
      <c r="C16" s="2">
        <v>6219541.465999999</v>
      </c>
      <c r="D16" s="2">
        <v>179043.364</v>
      </c>
      <c r="E16" s="2">
        <v>23068.29200000001</v>
      </c>
      <c r="F16" s="2">
        <v>755525.95</v>
      </c>
      <c r="G16" s="2">
        <v>60758.55999999998</v>
      </c>
      <c r="H16" s="2">
        <v>414983.5699999999</v>
      </c>
      <c r="I16" s="2">
        <v>4786161.7299999995</v>
      </c>
      <c r="J16" s="2"/>
      <c r="K16" s="2">
        <v>6186484.753</v>
      </c>
      <c r="L16" s="2">
        <v>523534.2961</v>
      </c>
      <c r="M16" s="2">
        <v>19033.5365</v>
      </c>
      <c r="N16" s="2">
        <v>5498267.831</v>
      </c>
      <c r="O16" s="2">
        <v>145649.0898</v>
      </c>
    </row>
    <row r="17">
      <c r="A17" s="1">
        <v>2019.0</v>
      </c>
      <c r="B17" s="2"/>
      <c r="C17" s="2">
        <v>8825130.070000006</v>
      </c>
      <c r="D17" s="2">
        <v>190904.02600000007</v>
      </c>
      <c r="E17" s="2">
        <v>30422.66</v>
      </c>
      <c r="F17" s="2">
        <v>608745.7979999996</v>
      </c>
      <c r="G17" s="2">
        <v>113453.6</v>
      </c>
      <c r="H17" s="2">
        <v>393246.8060000003</v>
      </c>
      <c r="I17" s="2">
        <v>7488357.180000006</v>
      </c>
      <c r="J17" s="2"/>
      <c r="K17" s="2">
        <v>8745583.527</v>
      </c>
      <c r="L17" s="2">
        <v>596200.0</v>
      </c>
      <c r="M17" s="2">
        <v>34296.0</v>
      </c>
      <c r="N17" s="2">
        <v>7208763.0</v>
      </c>
      <c r="O17" s="2">
        <v>906324.0</v>
      </c>
    </row>
    <row r="18">
      <c r="A18" s="1">
        <v>2020.0</v>
      </c>
      <c r="B18" s="2"/>
      <c r="C18" s="2">
        <v>8228404.0</v>
      </c>
      <c r="D18" s="2">
        <v>199392.0</v>
      </c>
      <c r="E18" s="2">
        <v>52131.0</v>
      </c>
      <c r="F18" s="2">
        <v>524605.0</v>
      </c>
      <c r="G18" s="2">
        <v>127681.0</v>
      </c>
      <c r="H18" s="2">
        <v>377963.0</v>
      </c>
      <c r="I18" s="2">
        <v>6946632.0</v>
      </c>
      <c r="J18" s="2"/>
      <c r="K18" s="2">
        <v>8105982.047</v>
      </c>
      <c r="L18" s="2">
        <v>651215.0991</v>
      </c>
      <c r="M18" s="2">
        <v>38688.88368</v>
      </c>
      <c r="N18" s="2">
        <v>6628875.198</v>
      </c>
      <c r="O18" s="2">
        <v>787202.8669</v>
      </c>
    </row>
    <row r="19">
      <c r="A19" s="1">
        <v>2021.0</v>
      </c>
      <c r="B19" s="2"/>
      <c r="C19" s="2">
        <v>9043749.0</v>
      </c>
      <c r="D19" s="2">
        <v>257558.0</v>
      </c>
      <c r="E19" s="2">
        <v>31946.0</v>
      </c>
      <c r="F19" s="2">
        <v>608235.0</v>
      </c>
      <c r="G19" s="2">
        <v>87343.0</v>
      </c>
      <c r="H19" s="2">
        <v>362380.0</v>
      </c>
      <c r="I19" s="2">
        <v>7696287.0</v>
      </c>
      <c r="J19" s="2"/>
      <c r="K19" s="2">
        <v>9043749.494</v>
      </c>
      <c r="L19" s="2">
        <v>679207.6714</v>
      </c>
      <c r="M19" s="2">
        <v>26098.1883</v>
      </c>
      <c r="N19" s="2">
        <v>7713738.136</v>
      </c>
      <c r="O19" s="2">
        <v>624705.4988</v>
      </c>
    </row>
    <row r="20">
      <c r="A20" s="1">
        <v>2022.0</v>
      </c>
      <c r="B20" s="2"/>
      <c r="C20" s="2">
        <v>8267813.0</v>
      </c>
      <c r="D20" s="2">
        <v>206851.0</v>
      </c>
      <c r="E20" s="2">
        <v>54101.0</v>
      </c>
      <c r="F20" s="2">
        <v>616687.0</v>
      </c>
      <c r="G20" s="2">
        <v>104270.0</v>
      </c>
      <c r="H20" s="2">
        <v>544415.0</v>
      </c>
      <c r="I20" s="2">
        <v>6741489.0</v>
      </c>
      <c r="J20" s="2"/>
      <c r="K20" s="2">
        <v>8267814.0</v>
      </c>
      <c r="L20" s="2">
        <v>816943.0</v>
      </c>
      <c r="M20" s="2">
        <v>146931.0</v>
      </c>
      <c r="N20" s="2">
        <v>6683870.0</v>
      </c>
      <c r="O20" s="2">
        <v>620070.0</v>
      </c>
    </row>
    <row r="21" ht="15.75" customHeight="1">
      <c r="A21" s="1">
        <v>2023.0</v>
      </c>
      <c r="B21" s="2"/>
      <c r="C21" s="2">
        <v>9042401.8494128</v>
      </c>
      <c r="D21" s="2">
        <v>212700.46649999983</v>
      </c>
      <c r="E21" s="2">
        <v>68693.60124000002</v>
      </c>
      <c r="F21" s="2">
        <v>613053.5469999994</v>
      </c>
      <c r="G21" s="2">
        <v>121411.62099999996</v>
      </c>
      <c r="H21" s="2">
        <v>679761.5764728003</v>
      </c>
      <c r="I21" s="2">
        <v>7346781.483200001</v>
      </c>
      <c r="J21" s="2"/>
      <c r="K21" s="2">
        <v>8865990.977139</v>
      </c>
      <c r="L21" s="2">
        <v>944214.1323429999</v>
      </c>
      <c r="M21" s="2">
        <v>203735.0727</v>
      </c>
      <c r="N21" s="2">
        <v>6655247.5034</v>
      </c>
      <c r="O21" s="2">
        <v>1062794.2686959999</v>
      </c>
    </row>
    <row r="22" ht="15.75" customHeight="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75" customHeight="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5.75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.75" customHeight="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5.75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.75" customHeight="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75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.75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56.86"/>
    <col customWidth="1" min="3" max="3" width="37.14"/>
    <col customWidth="1" min="4" max="4" width="49.14"/>
    <col customWidth="1" min="5" max="5" width="29.71"/>
    <col customWidth="1" min="6" max="6" width="48.14"/>
    <col customWidth="1" min="7" max="7" width="30.0"/>
    <col customWidth="1" min="8" max="26" width="9.0"/>
  </cols>
  <sheetData>
    <row r="1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>
      <c r="A2" s="1">
        <v>2012.0</v>
      </c>
      <c r="B2" s="2">
        <v>809501.0</v>
      </c>
      <c r="C2" s="2">
        <v>168582.0</v>
      </c>
      <c r="D2" s="2">
        <v>599015.0</v>
      </c>
      <c r="E2" s="11">
        <f t="shared" ref="E2:E12" si="1">D2/B2</f>
        <v>0.7399805559</v>
      </c>
      <c r="F2" s="2">
        <v>68147.0</v>
      </c>
      <c r="G2" s="11">
        <f t="shared" ref="G2:G12" si="2">F2/C2</f>
        <v>0.404236514</v>
      </c>
    </row>
    <row r="3">
      <c r="A3" s="1">
        <v>2013.0</v>
      </c>
      <c r="B3" s="2">
        <v>870109.0</v>
      </c>
      <c r="C3" s="2">
        <v>205310.0</v>
      </c>
      <c r="D3" s="2">
        <v>610397.0</v>
      </c>
      <c r="E3" s="11">
        <f t="shared" si="1"/>
        <v>0.7015178558</v>
      </c>
      <c r="F3" s="2">
        <v>82266.0</v>
      </c>
      <c r="G3" s="11">
        <f t="shared" si="2"/>
        <v>0.400691637</v>
      </c>
    </row>
    <row r="4">
      <c r="A4" s="1">
        <v>2014.0</v>
      </c>
      <c r="B4" s="2">
        <v>969423.0</v>
      </c>
      <c r="C4" s="2">
        <v>276309.0</v>
      </c>
      <c r="D4" s="2">
        <v>662158.0</v>
      </c>
      <c r="E4" s="11">
        <f t="shared" si="1"/>
        <v>0.6830434186</v>
      </c>
      <c r="F4" s="2">
        <v>97824.0</v>
      </c>
      <c r="G4" s="11">
        <f t="shared" si="2"/>
        <v>0.3540384135</v>
      </c>
    </row>
    <row r="5">
      <c r="A5" s="1">
        <v>2015.0</v>
      </c>
      <c r="B5" s="2">
        <v>983384.0</v>
      </c>
      <c r="C5" s="2">
        <v>282148.0</v>
      </c>
      <c r="D5" s="2">
        <v>664119.0</v>
      </c>
      <c r="E5" s="11">
        <f t="shared" si="1"/>
        <v>0.675340457</v>
      </c>
      <c r="F5" s="2">
        <v>95890.0</v>
      </c>
      <c r="G5" s="11">
        <f t="shared" si="2"/>
        <v>0.3398570963</v>
      </c>
    </row>
    <row r="6">
      <c r="A6" s="1">
        <v>2016.0</v>
      </c>
      <c r="B6" s="2">
        <v>991298.0</v>
      </c>
      <c r="C6" s="2">
        <v>275510.0</v>
      </c>
      <c r="D6" s="2">
        <v>663791.0</v>
      </c>
      <c r="E6" s="11">
        <f t="shared" si="1"/>
        <v>0.669618016</v>
      </c>
      <c r="F6" s="2">
        <v>98238.0</v>
      </c>
      <c r="G6" s="11">
        <f t="shared" si="2"/>
        <v>0.3565678197</v>
      </c>
    </row>
    <row r="7">
      <c r="A7" s="1">
        <v>2017.0</v>
      </c>
      <c r="B7" s="2">
        <v>1038308.0</v>
      </c>
      <c r="C7" s="2">
        <v>280673.2655000678</v>
      </c>
      <c r="D7" s="2">
        <v>681163.5556298442</v>
      </c>
      <c r="E7" s="11">
        <f t="shared" si="1"/>
        <v>0.6560322714</v>
      </c>
      <c r="F7" s="2">
        <v>94888.99441997909</v>
      </c>
      <c r="G7" s="11">
        <f t="shared" si="2"/>
        <v>0.3380763546</v>
      </c>
    </row>
    <row r="8">
      <c r="A8" s="1">
        <v>2018.0</v>
      </c>
      <c r="B8" s="2">
        <v>1012709.0</v>
      </c>
      <c r="C8" s="2">
        <v>264016.51431318186</v>
      </c>
      <c r="D8" s="2">
        <v>637831.542881169</v>
      </c>
      <c r="E8" s="11">
        <f t="shared" si="1"/>
        <v>0.6298270706</v>
      </c>
      <c r="F8" s="2">
        <v>81900.95212176659</v>
      </c>
      <c r="G8" s="11">
        <f t="shared" si="2"/>
        <v>0.3102114742</v>
      </c>
    </row>
    <row r="9">
      <c r="A9" s="1">
        <v>2019.0</v>
      </c>
      <c r="B9" s="2">
        <v>1124917.0</v>
      </c>
      <c r="C9" s="2">
        <v>319082.11201797164</v>
      </c>
      <c r="D9" s="2">
        <v>691098.8875732776</v>
      </c>
      <c r="E9" s="11">
        <f t="shared" si="1"/>
        <v>0.6143554481</v>
      </c>
      <c r="F9" s="2">
        <v>88832.63160785413</v>
      </c>
      <c r="G9" s="11">
        <f t="shared" si="2"/>
        <v>0.2784005379</v>
      </c>
    </row>
    <row r="10">
      <c r="A10" s="1">
        <v>2020.0</v>
      </c>
      <c r="B10" s="2">
        <v>1118596.0</v>
      </c>
      <c r="C10" s="2">
        <v>306325.0</v>
      </c>
      <c r="D10" s="2">
        <v>690816.9776010265</v>
      </c>
      <c r="E10" s="11">
        <f t="shared" si="1"/>
        <v>0.6175750473</v>
      </c>
      <c r="F10" s="2">
        <v>89056.091035943</v>
      </c>
      <c r="G10" s="11">
        <f t="shared" si="2"/>
        <v>0.2907242015</v>
      </c>
    </row>
    <row r="11">
      <c r="A11" s="1">
        <v>2021.0</v>
      </c>
      <c r="B11" s="2">
        <v>1238838.1834027644</v>
      </c>
      <c r="C11" s="2">
        <v>372819.2147891802</v>
      </c>
      <c r="D11" s="2">
        <v>719605.6899265271</v>
      </c>
      <c r="E11" s="11">
        <f t="shared" si="1"/>
        <v>0.5808714161</v>
      </c>
      <c r="F11" s="2">
        <v>104192.96877998741</v>
      </c>
      <c r="G11" s="11">
        <f t="shared" si="2"/>
        <v>0.2794731726</v>
      </c>
    </row>
    <row r="12">
      <c r="A12" s="1">
        <v>2022.0</v>
      </c>
      <c r="B12" s="2">
        <v>1207930.6728679375</v>
      </c>
      <c r="C12" s="2">
        <v>344878.4525167369</v>
      </c>
      <c r="D12" s="2">
        <v>724484.0520580024</v>
      </c>
      <c r="E12" s="11">
        <f t="shared" si="1"/>
        <v>0.5997728747</v>
      </c>
      <c r="F12" s="2">
        <v>110841.6129082</v>
      </c>
      <c r="G12" s="11">
        <f t="shared" si="2"/>
        <v>0.321393268</v>
      </c>
    </row>
    <row r="13">
      <c r="A13" s="1">
        <v>2023.0</v>
      </c>
      <c r="B13" s="2">
        <v>1185194.85</v>
      </c>
      <c r="C13" s="2">
        <v>353388.36</v>
      </c>
      <c r="D13" s="2">
        <v>698868.69</v>
      </c>
      <c r="E13" s="11">
        <v>0.5896656486484056</v>
      </c>
      <c r="F13" s="2">
        <v>104446.33</v>
      </c>
      <c r="G13" s="11">
        <v>0.2955567919667756</v>
      </c>
    </row>
    <row r="14">
      <c r="A14" s="1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7" width="21.29"/>
    <col customWidth="1" min="8" max="26" width="8.86"/>
  </cols>
  <sheetData>
    <row r="1">
      <c r="A1" s="10" t="s">
        <v>0</v>
      </c>
      <c r="B1" s="10" t="s">
        <v>67</v>
      </c>
      <c r="C1" s="10" t="s">
        <v>68</v>
      </c>
      <c r="D1" s="10" t="s">
        <v>69</v>
      </c>
      <c r="E1" s="10" t="s">
        <v>70</v>
      </c>
      <c r="F1" s="12" t="s">
        <v>71</v>
      </c>
      <c r="G1" s="10" t="s">
        <v>72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3">
        <v>2008.0</v>
      </c>
      <c r="B2" s="2">
        <v>52231.0</v>
      </c>
      <c r="C2" s="2">
        <v>41217.0</v>
      </c>
      <c r="D2" s="2">
        <v>39353.0</v>
      </c>
      <c r="E2" s="2"/>
      <c r="F2" s="14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>
        <v>2009.0</v>
      </c>
      <c r="B3" s="2">
        <v>44812.0</v>
      </c>
      <c r="C3" s="2">
        <v>37323.0</v>
      </c>
      <c r="D3" s="2">
        <v>36745.0</v>
      </c>
      <c r="E3" s="2"/>
      <c r="F3" s="14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>
        <v>2010.0</v>
      </c>
      <c r="B4" s="2">
        <v>44431.0</v>
      </c>
      <c r="C4" s="2">
        <v>36343.0</v>
      </c>
      <c r="D4" s="2">
        <v>35688.0</v>
      </c>
      <c r="E4" s="2">
        <v>96360.0</v>
      </c>
      <c r="F4" s="14">
        <v>0.377</v>
      </c>
      <c r="G4" s="11">
        <v>0.45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>
        <v>2011.0</v>
      </c>
      <c r="B5" s="2">
        <v>39629.0</v>
      </c>
      <c r="C5" s="2">
        <v>32846.0</v>
      </c>
      <c r="D5" s="2">
        <v>32546.0</v>
      </c>
      <c r="E5" s="2">
        <v>99057.0</v>
      </c>
      <c r="F5" s="14">
        <v>0.386</v>
      </c>
      <c r="G5" s="11">
        <v>0.45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>
        <v>2012.0</v>
      </c>
      <c r="B6" s="2">
        <v>41177.0</v>
      </c>
      <c r="C6" s="2">
        <v>35012.0</v>
      </c>
      <c r="D6" s="2">
        <v>34360.0</v>
      </c>
      <c r="E6" s="2">
        <v>84964.0</v>
      </c>
      <c r="F6" s="14">
        <v>0.423</v>
      </c>
      <c r="G6" s="11">
        <v>0.45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>
        <v>2013.0</v>
      </c>
      <c r="B7" s="2">
        <v>42628.0</v>
      </c>
      <c r="C7" s="2">
        <v>36994.0</v>
      </c>
      <c r="D7" s="2">
        <v>35509.0</v>
      </c>
      <c r="E7" s="2">
        <v>85019.0</v>
      </c>
      <c r="F7" s="14">
        <v>0.456</v>
      </c>
      <c r="G7" s="11">
        <v>0.45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>
        <v>2014.0</v>
      </c>
      <c r="B8" s="2">
        <v>44911.0</v>
      </c>
      <c r="C8" s="2">
        <v>38684.0</v>
      </c>
      <c r="D8" s="2">
        <v>37584.0</v>
      </c>
      <c r="E8" s="2">
        <v>93282.0</v>
      </c>
      <c r="F8" s="14">
        <v>0.501</v>
      </c>
      <c r="G8" s="11">
        <v>0.45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>
        <v>2015.0</v>
      </c>
      <c r="B9" s="2">
        <v>48626.0</v>
      </c>
      <c r="C9" s="2">
        <v>45576.0</v>
      </c>
      <c r="D9" s="2">
        <v>40458.0</v>
      </c>
      <c r="E9" s="2">
        <v>86357.0</v>
      </c>
      <c r="F9" s="14">
        <v>0.554</v>
      </c>
      <c r="G9" s="11">
        <v>0.45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>
        <v>2016.0</v>
      </c>
      <c r="B10" s="2">
        <v>51303.0</v>
      </c>
      <c r="C10" s="2">
        <v>49534.0</v>
      </c>
      <c r="D10" s="2">
        <v>43681.0</v>
      </c>
      <c r="E10" s="2">
        <v>96463.0</v>
      </c>
      <c r="F10" s="14">
        <v>0.582</v>
      </c>
      <c r="G10" s="11">
        <v>0.45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>
        <v>2017.0</v>
      </c>
      <c r="B11" s="2">
        <v>52312.0</v>
      </c>
      <c r="C11" s="2">
        <v>47504.0</v>
      </c>
      <c r="D11" s="2">
        <v>43860.0</v>
      </c>
      <c r="E11" s="2">
        <v>108476.0</v>
      </c>
      <c r="F11" s="14">
        <v>0.568</v>
      </c>
      <c r="G11" s="11">
        <v>0.45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>
        <v>2018.0</v>
      </c>
      <c r="B12" s="2">
        <v>62714.0</v>
      </c>
      <c r="C12" s="2">
        <v>55754.0</v>
      </c>
      <c r="D12" s="2">
        <v>52010.0</v>
      </c>
      <c r="E12" s="2">
        <v>101406.0</v>
      </c>
      <c r="F12" s="14">
        <v>0.646</v>
      </c>
      <c r="G12" s="11">
        <v>0.45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>
        <v>2019.0</v>
      </c>
      <c r="B13" s="2">
        <v>62638.0</v>
      </c>
      <c r="C13" s="2">
        <v>57897.0</v>
      </c>
      <c r="D13" s="2">
        <v>53162.0</v>
      </c>
      <c r="E13" s="2">
        <v>112042.0</v>
      </c>
      <c r="F13" s="14">
        <v>0.613</v>
      </c>
      <c r="G13" s="11">
        <v>0.65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>
        <v>2020.0</v>
      </c>
      <c r="B14" s="2">
        <v>64856.0</v>
      </c>
      <c r="C14" s="2">
        <v>59404.0</v>
      </c>
      <c r="D14" s="2">
        <v>55010.2</v>
      </c>
      <c r="E14" s="2">
        <v>124354.0</v>
      </c>
      <c r="F14" s="14">
        <v>0.604</v>
      </c>
      <c r="G14" s="11">
        <v>0.65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>
        <v>2021.0</v>
      </c>
      <c r="B15" s="2">
        <v>71811.0</v>
      </c>
      <c r="C15" s="2">
        <v>66811.0</v>
      </c>
      <c r="D15" s="2">
        <v>59896.0</v>
      </c>
      <c r="E15" s="2">
        <v>150261.0</v>
      </c>
      <c r="F15" s="14">
        <v>0.638</v>
      </c>
      <c r="G15" s="11">
        <v>0.65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>
        <v>2022.0</v>
      </c>
      <c r="B16" s="2">
        <v>66018.0</v>
      </c>
      <c r="C16" s="2">
        <v>61808.0</v>
      </c>
      <c r="D16" s="2">
        <v>54245.0</v>
      </c>
      <c r="E16" s="2">
        <v>164975.0</v>
      </c>
      <c r="F16" s="14">
        <v>0.512</v>
      </c>
      <c r="G16" s="11">
        <v>0.65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">
        <v>2023.0</v>
      </c>
      <c r="B17" s="1">
        <v>63946.0</v>
      </c>
      <c r="C17" s="1">
        <v>60035.0</v>
      </c>
      <c r="D17" s="1">
        <v>52465.0</v>
      </c>
      <c r="E17" s="15"/>
      <c r="F17" s="14">
        <v>0.436</v>
      </c>
      <c r="G17" s="11">
        <v>0.65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 t="s">
        <v>73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 t="s">
        <v>74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A19:G19"/>
    <mergeCell ref="A20:G2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29"/>
    <col customWidth="1" min="3" max="3" width="29.0"/>
    <col customWidth="1" min="4" max="4" width="31.86"/>
    <col customWidth="1" min="5" max="5" width="27.29"/>
    <col customWidth="1" min="6" max="6" width="42.0"/>
    <col customWidth="1" min="7" max="7" width="15.14"/>
    <col customWidth="1" min="8" max="26" width="8.7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>
      <c r="A2" s="1">
        <v>2018.0</v>
      </c>
      <c r="B2" s="1">
        <v>1053700.0</v>
      </c>
      <c r="D2" s="1">
        <v>497500.0</v>
      </c>
      <c r="E2" s="1">
        <v>100400.0</v>
      </c>
      <c r="F2" s="1">
        <v>203300.0</v>
      </c>
      <c r="G2" s="1">
        <v>252500.0</v>
      </c>
    </row>
    <row r="3">
      <c r="A3" s="1">
        <v>2019.0</v>
      </c>
      <c r="B3" s="1">
        <v>1100020.0</v>
      </c>
      <c r="D3" s="1">
        <v>497448.0</v>
      </c>
      <c r="E3" s="1">
        <v>111297.0</v>
      </c>
      <c r="F3" s="1">
        <v>236530.0</v>
      </c>
      <c r="G3" s="1">
        <v>254745.0</v>
      </c>
    </row>
    <row r="4">
      <c r="A4" s="1">
        <v>2020.0</v>
      </c>
      <c r="B4" s="1">
        <v>770300.0</v>
      </c>
      <c r="C4" s="1">
        <v>70400.0</v>
      </c>
      <c r="D4" s="1">
        <v>219500.0</v>
      </c>
      <c r="E4" s="1">
        <v>60900.0</v>
      </c>
      <c r="F4" s="1">
        <v>178500.0</v>
      </c>
      <c r="G4" s="1">
        <v>241000.0</v>
      </c>
    </row>
    <row r="5">
      <c r="A5" s="1">
        <v>2021.0</v>
      </c>
      <c r="B5" s="1">
        <v>753000.0</v>
      </c>
      <c r="C5" s="1">
        <v>53000.0</v>
      </c>
      <c r="D5" s="1">
        <v>215000.0</v>
      </c>
      <c r="E5" s="1">
        <v>75000.0</v>
      </c>
      <c r="F5" s="1">
        <v>189000.0</v>
      </c>
      <c r="G5" s="1">
        <v>221000.0</v>
      </c>
    </row>
    <row r="6">
      <c r="A6" s="1">
        <v>2022.0</v>
      </c>
      <c r="B6" s="1">
        <v>749243.0</v>
      </c>
      <c r="C6" s="1">
        <v>52837.0</v>
      </c>
      <c r="D6" s="1">
        <v>230100.0</v>
      </c>
      <c r="E6" s="1">
        <v>89103.0</v>
      </c>
      <c r="F6" s="1">
        <v>157045.0</v>
      </c>
      <c r="G6" s="1">
        <v>220158.0</v>
      </c>
    </row>
    <row r="7">
      <c r="A7" s="1">
        <v>2023.0</v>
      </c>
      <c r="B7" s="1">
        <v>834958.0</v>
      </c>
      <c r="C7" s="1">
        <v>50032.0</v>
      </c>
      <c r="D7" s="1">
        <v>305121.0</v>
      </c>
      <c r="E7" s="1">
        <v>83806.0</v>
      </c>
      <c r="F7" s="1">
        <v>175048.0</v>
      </c>
      <c r="G7" s="1">
        <v>220951.0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9.29"/>
    <col customWidth="1" min="3" max="11" width="16.0"/>
    <col customWidth="1" min="12" max="26" width="29.0"/>
  </cols>
  <sheetData>
    <row r="1" ht="90.0" customHeight="1">
      <c r="A1" s="10" t="s">
        <v>0</v>
      </c>
      <c r="B1" s="10" t="s">
        <v>81</v>
      </c>
      <c r="C1" s="10" t="s">
        <v>82</v>
      </c>
      <c r="D1" s="10" t="s">
        <v>83</v>
      </c>
      <c r="E1" s="10" t="s">
        <v>84</v>
      </c>
      <c r="F1" s="10" t="s">
        <v>85</v>
      </c>
      <c r="G1" s="10" t="s">
        <v>86</v>
      </c>
      <c r="H1" s="10" t="s">
        <v>87</v>
      </c>
      <c r="I1" s="10" t="s">
        <v>88</v>
      </c>
      <c r="J1" s="10" t="s">
        <v>89</v>
      </c>
      <c r="K1" s="10" t="s">
        <v>90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">
        <v>2005.0</v>
      </c>
      <c r="B2" s="1">
        <v>48000.0</v>
      </c>
    </row>
    <row r="3">
      <c r="A3" s="1">
        <v>2006.0</v>
      </c>
      <c r="B3" s="1">
        <v>55000.0</v>
      </c>
    </row>
    <row r="4">
      <c r="A4" s="1">
        <v>2007.0</v>
      </c>
      <c r="B4" s="1">
        <v>79000.0</v>
      </c>
    </row>
    <row r="5">
      <c r="A5" s="1">
        <v>2008.0</v>
      </c>
      <c r="B5" s="1">
        <v>107000.0</v>
      </c>
    </row>
    <row r="6">
      <c r="A6" s="1">
        <v>2009.0</v>
      </c>
      <c r="B6" s="1">
        <v>88000.0</v>
      </c>
    </row>
    <row r="7">
      <c r="A7" s="1">
        <v>2010.0</v>
      </c>
      <c r="B7" s="1">
        <v>107000.0</v>
      </c>
    </row>
    <row r="8">
      <c r="A8" s="1">
        <v>2011.0</v>
      </c>
      <c r="B8" s="1">
        <v>157000.0</v>
      </c>
    </row>
    <row r="9">
      <c r="A9" s="1">
        <v>2012.0</v>
      </c>
      <c r="B9" s="1">
        <v>156000.0</v>
      </c>
    </row>
    <row r="10">
      <c r="A10" s="1">
        <v>2013.0</v>
      </c>
      <c r="B10" s="1">
        <v>158000.0</v>
      </c>
    </row>
    <row r="11">
      <c r="A11" s="1">
        <v>2014.0</v>
      </c>
      <c r="B11" s="1">
        <v>180000.0</v>
      </c>
    </row>
    <row r="12">
      <c r="A12" s="1">
        <v>2015.0</v>
      </c>
      <c r="B12" s="1">
        <v>194000.0</v>
      </c>
    </row>
    <row r="13">
      <c r="A13" s="1">
        <v>2016.0</v>
      </c>
      <c r="B13" s="1">
        <v>231000.0</v>
      </c>
    </row>
    <row r="14">
      <c r="A14" s="1">
        <v>2017.0</v>
      </c>
      <c r="B14" s="1">
        <v>246000.0</v>
      </c>
      <c r="C14" s="1">
        <v>280927.0</v>
      </c>
      <c r="F14" s="1">
        <v>120397.0</v>
      </c>
      <c r="I14" s="1">
        <v>401324.0</v>
      </c>
    </row>
    <row r="15">
      <c r="A15" s="1">
        <v>2018.0</v>
      </c>
      <c r="B15" s="1">
        <v>257000.0</v>
      </c>
      <c r="C15" s="1">
        <v>267205.0</v>
      </c>
      <c r="F15" s="1">
        <v>178136.0</v>
      </c>
      <c r="I15" s="1">
        <v>445341.0</v>
      </c>
    </row>
    <row r="16">
      <c r="A16" s="1">
        <v>2019.0</v>
      </c>
      <c r="B16" s="1">
        <v>295000.0</v>
      </c>
      <c r="C16" s="1">
        <v>290445.0</v>
      </c>
      <c r="F16" s="1">
        <v>237637.0</v>
      </c>
      <c r="I16" s="1">
        <v>528082.0</v>
      </c>
    </row>
    <row r="17">
      <c r="A17" s="1">
        <v>2020.0</v>
      </c>
      <c r="B17" s="1">
        <v>302000.0</v>
      </c>
      <c r="C17" s="1">
        <v>288695.0</v>
      </c>
      <c r="F17" s="1">
        <v>308496.0</v>
      </c>
      <c r="I17" s="1">
        <v>597191.0</v>
      </c>
    </row>
    <row r="18">
      <c r="A18" s="1">
        <v>2021.0</v>
      </c>
      <c r="B18" s="1">
        <v>332000.0</v>
      </c>
      <c r="C18" s="1">
        <v>292378.0</v>
      </c>
      <c r="F18" s="1">
        <v>303176.0</v>
      </c>
      <c r="I18" s="1">
        <v>595554.0</v>
      </c>
    </row>
    <row r="19">
      <c r="A19" s="13">
        <v>2022.0</v>
      </c>
      <c r="B19" s="13">
        <v>334000.0</v>
      </c>
      <c r="C19" s="13"/>
      <c r="D19" s="13">
        <v>306801.0</v>
      </c>
      <c r="E19" s="13">
        <v>251805.0</v>
      </c>
      <c r="F19" s="13"/>
      <c r="G19" s="13">
        <v>428703.0</v>
      </c>
      <c r="H19" s="13">
        <v>257767.0</v>
      </c>
      <c r="I19" s="13"/>
      <c r="J19" s="13">
        <v>735504.0</v>
      </c>
      <c r="K19" s="13">
        <v>509572.0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1" ht="15.75" customHeight="1"/>
    <row r="22" ht="15.75" customHeight="1">
      <c r="A22" s="1" t="s">
        <v>91</v>
      </c>
    </row>
    <row r="23" ht="15.75" customHeight="1">
      <c r="A23" s="1" t="s">
        <v>92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37.14"/>
    <col customWidth="1" min="3" max="3" width="38.57"/>
    <col customWidth="1" min="4" max="4" width="9.0"/>
    <col customWidth="1" min="5" max="5" width="16.43"/>
    <col customWidth="1" min="6" max="6" width="16.29"/>
    <col customWidth="1" min="7" max="7" width="26.0"/>
    <col customWidth="1" min="8" max="8" width="25.86"/>
    <col customWidth="1" min="9" max="9" width="21.14"/>
    <col customWidth="1" min="10" max="10" width="21.0"/>
    <col customWidth="1" min="11" max="11" width="27.43"/>
    <col customWidth="1" min="12" max="12" width="28.86"/>
    <col customWidth="1" min="13" max="26" width="8.86"/>
  </cols>
  <sheetData>
    <row r="1">
      <c r="A1" s="2" t="s">
        <v>0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2007.0</v>
      </c>
      <c r="B2" s="2">
        <v>112243.2802478922</v>
      </c>
      <c r="C2" s="2">
        <v>109032.0</v>
      </c>
      <c r="D2" s="2">
        <v>1163.06</v>
      </c>
      <c r="E2" s="2">
        <v>87454.91</v>
      </c>
      <c r="F2" s="2">
        <v>87519.2</v>
      </c>
      <c r="G2" s="2">
        <v>88617.96</v>
      </c>
      <c r="H2" s="2">
        <v>88682.25</v>
      </c>
      <c r="I2" s="16">
        <v>81.27701959057892</v>
      </c>
      <c r="J2" s="16">
        <v>81.33598393132291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2008.0</v>
      </c>
      <c r="B3" s="2">
        <v>127612.0</v>
      </c>
      <c r="C3" s="2">
        <v>136624.0</v>
      </c>
      <c r="D3" s="2">
        <v>1033.0</v>
      </c>
      <c r="E3" s="2">
        <v>102634.0</v>
      </c>
      <c r="F3" s="2">
        <v>110727.0</v>
      </c>
      <c r="G3" s="2">
        <v>103667.0</v>
      </c>
      <c r="H3" s="2">
        <v>111760.0</v>
      </c>
      <c r="I3" s="16">
        <v>75.87759105281648</v>
      </c>
      <c r="J3" s="16">
        <v>81.80114767537182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2009.0</v>
      </c>
      <c r="B4" s="2">
        <v>152455.0</v>
      </c>
      <c r="C4" s="2">
        <v>163070.0</v>
      </c>
      <c r="D4" s="2">
        <v>1288.0</v>
      </c>
      <c r="E4" s="2">
        <v>127320.0</v>
      </c>
      <c r="F4" s="2">
        <v>132940.0</v>
      </c>
      <c r="G4" s="2">
        <v>128608.0</v>
      </c>
      <c r="H4" s="2">
        <v>134228.0</v>
      </c>
      <c r="I4" s="16">
        <v>78.86674434292021</v>
      </c>
      <c r="J4" s="16">
        <v>82.31311706629056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2010.0</v>
      </c>
      <c r="B5" s="2">
        <v>158237.0</v>
      </c>
      <c r="C5" s="2">
        <v>169155.353</v>
      </c>
      <c r="D5" s="2">
        <v>1358.0195910573318</v>
      </c>
      <c r="E5" s="2">
        <v>128858.52577802783</v>
      </c>
      <c r="F5" s="2">
        <v>129614.29098055333</v>
      </c>
      <c r="G5" s="2">
        <v>130216.54536908517</v>
      </c>
      <c r="H5" s="2">
        <v>130972.31057161067</v>
      </c>
      <c r="I5" s="16">
        <v>76.98044611634913</v>
      </c>
      <c r="J5" s="16">
        <v>77.42723375216548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2011.0</v>
      </c>
      <c r="B6" s="2">
        <v>134960.0</v>
      </c>
      <c r="C6" s="2">
        <v>139279.0</v>
      </c>
      <c r="D6" s="2">
        <v>1125.0</v>
      </c>
      <c r="E6" s="2">
        <v>110946.0</v>
      </c>
      <c r="F6" s="2">
        <v>114064.0</v>
      </c>
      <c r="G6" s="2">
        <v>112071.0</v>
      </c>
      <c r="H6" s="2">
        <v>115189.0</v>
      </c>
      <c r="I6" s="16">
        <v>80.5</v>
      </c>
      <c r="J6" s="16">
        <v>82.69999999999999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2012.0</v>
      </c>
      <c r="B7" s="2">
        <v>102072.94010570724</v>
      </c>
      <c r="C7" s="2">
        <v>105339.27418908988</v>
      </c>
      <c r="D7" s="2">
        <v>858.9700830036029</v>
      </c>
      <c r="E7" s="2">
        <v>85323.41856135755</v>
      </c>
      <c r="F7" s="2">
        <v>91626.6785161271</v>
      </c>
      <c r="G7" s="2">
        <v>86182.38864436116</v>
      </c>
      <c r="H7" s="2">
        <v>92485.6485991307</v>
      </c>
      <c r="I7" s="16">
        <v>81.8141090374887</v>
      </c>
      <c r="J7" s="16">
        <v>87.797879101686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2013.0</v>
      </c>
      <c r="B8" s="2">
        <v>92467.0</v>
      </c>
      <c r="C8" s="2">
        <v>98015.0</v>
      </c>
      <c r="D8" s="2">
        <v>755.0</v>
      </c>
      <c r="E8" s="2">
        <v>78070.0</v>
      </c>
      <c r="F8" s="2">
        <v>89008.0</v>
      </c>
      <c r="G8" s="2">
        <v>78825.0</v>
      </c>
      <c r="H8" s="2">
        <v>89763.0</v>
      </c>
      <c r="I8" s="16">
        <v>80.4</v>
      </c>
      <c r="J8" s="16">
        <v>91.6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2014.0</v>
      </c>
      <c r="B9" s="2">
        <v>86950.0</v>
      </c>
      <c r="C9" s="2">
        <v>92208.0</v>
      </c>
      <c r="D9" s="2">
        <v>628.0</v>
      </c>
      <c r="E9" s="2">
        <v>75062.0</v>
      </c>
      <c r="F9" s="2">
        <v>83007.0</v>
      </c>
      <c r="G9" s="2">
        <v>75690.0</v>
      </c>
      <c r="H9" s="2">
        <v>83635.0</v>
      </c>
      <c r="I9" s="16">
        <v>82.1</v>
      </c>
      <c r="J9" s="16">
        <v>90.7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2015.0</v>
      </c>
      <c r="B10" s="2">
        <v>74910.0</v>
      </c>
      <c r="C10" s="2">
        <v>79405.0</v>
      </c>
      <c r="D10" s="2">
        <v>592.0</v>
      </c>
      <c r="E10" s="2">
        <v>65517.0</v>
      </c>
      <c r="F10" s="2">
        <v>72317.0</v>
      </c>
      <c r="G10" s="2">
        <v>66109.0</v>
      </c>
      <c r="H10" s="2">
        <v>72909.0</v>
      </c>
      <c r="I10" s="16">
        <v>83.3</v>
      </c>
      <c r="J10" s="16">
        <v>91.8</v>
      </c>
      <c r="K10" s="2">
        <v>85.0</v>
      </c>
      <c r="L10" s="2">
        <v>95.0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2016.0</v>
      </c>
      <c r="B11" s="2">
        <v>98213.0</v>
      </c>
      <c r="C11" s="2">
        <v>104105.0</v>
      </c>
      <c r="D11" s="2">
        <v>714.0</v>
      </c>
      <c r="E11" s="2">
        <v>88851.0</v>
      </c>
      <c r="F11" s="2">
        <v>95902.0</v>
      </c>
      <c r="G11" s="2">
        <v>89565.0</v>
      </c>
      <c r="H11" s="2">
        <v>96616.0</v>
      </c>
      <c r="I11" s="16">
        <v>86.0</v>
      </c>
      <c r="J11" s="16">
        <v>92.8</v>
      </c>
      <c r="K11" s="2">
        <v>85.0</v>
      </c>
      <c r="L11" s="2">
        <v>95.0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2017.0</v>
      </c>
      <c r="B12" s="2">
        <v>140788.0</v>
      </c>
      <c r="C12" s="2">
        <v>149235.0</v>
      </c>
      <c r="D12" s="2">
        <v>1213.0</v>
      </c>
      <c r="E12" s="2">
        <v>126981.0</v>
      </c>
      <c r="F12" s="2">
        <v>139916.0</v>
      </c>
      <c r="G12" s="2">
        <v>128194.0</v>
      </c>
      <c r="H12" s="2">
        <v>141129.0</v>
      </c>
      <c r="I12" s="16">
        <v>85.9</v>
      </c>
      <c r="J12" s="16">
        <v>94.6</v>
      </c>
      <c r="K12" s="2">
        <v>85.0</v>
      </c>
      <c r="L12" s="2">
        <v>95.0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2018.0</v>
      </c>
      <c r="B13" s="2">
        <v>162521.234</v>
      </c>
      <c r="C13" s="2">
        <v>172272.514</v>
      </c>
      <c r="D13" s="2">
        <v>1459.935</v>
      </c>
      <c r="E13" s="2">
        <v>147324.819</v>
      </c>
      <c r="F13" s="2">
        <v>162484.03</v>
      </c>
      <c r="G13" s="2">
        <v>148784.745</v>
      </c>
      <c r="H13" s="2">
        <v>163943.965</v>
      </c>
      <c r="I13" s="16">
        <v>86.366</v>
      </c>
      <c r="J13" s="16">
        <v>95.165</v>
      </c>
      <c r="K13" s="2">
        <v>85.0</v>
      </c>
      <c r="L13" s="2">
        <v>95.0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2019.0</v>
      </c>
      <c r="B14" s="2">
        <v>149445.33</v>
      </c>
      <c r="C14" s="2">
        <v>158412.05</v>
      </c>
      <c r="D14" s="2">
        <v>1473.005</v>
      </c>
      <c r="E14" s="2">
        <v>137028.414</v>
      </c>
      <c r="F14" s="2">
        <v>149351.708</v>
      </c>
      <c r="G14" s="2">
        <v>138501.42</v>
      </c>
      <c r="H14" s="2">
        <v>150824.713</v>
      </c>
      <c r="I14" s="16">
        <v>87.431</v>
      </c>
      <c r="J14" s="16">
        <v>95.21</v>
      </c>
      <c r="K14" s="2">
        <v>85.0</v>
      </c>
      <c r="L14" s="2">
        <v>95.0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2020.0</v>
      </c>
      <c r="B15" s="2">
        <v>118867.46</v>
      </c>
      <c r="C15" s="2">
        <v>125999.51</v>
      </c>
      <c r="D15" s="2">
        <v>1145.223</v>
      </c>
      <c r="E15" s="2">
        <v>112671.747</v>
      </c>
      <c r="F15" s="2">
        <v>121229.345</v>
      </c>
      <c r="G15" s="2">
        <v>113816.97</v>
      </c>
      <c r="H15" s="2">
        <v>122374.568</v>
      </c>
      <c r="I15" s="16">
        <v>90.331</v>
      </c>
      <c r="J15" s="16">
        <v>97.123</v>
      </c>
      <c r="K15" s="2">
        <v>85.0</v>
      </c>
      <c r="L15" s="2">
        <v>95.0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2021.0</v>
      </c>
      <c r="B16" s="2">
        <v>145627.68</v>
      </c>
      <c r="C16" s="2">
        <v>154365.34</v>
      </c>
      <c r="D16" s="2">
        <v>1423.996</v>
      </c>
      <c r="E16" s="2">
        <v>134125.0</v>
      </c>
      <c r="F16" s="2">
        <v>146365.0</v>
      </c>
      <c r="G16" s="2">
        <v>135548.996</v>
      </c>
      <c r="H16" s="2">
        <v>147788.996</v>
      </c>
      <c r="I16" s="16">
        <v>87.811</v>
      </c>
      <c r="J16" s="16">
        <v>95.74</v>
      </c>
      <c r="K16" s="2">
        <v>85.0</v>
      </c>
      <c r="L16" s="2">
        <v>95.0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2022.0</v>
      </c>
      <c r="B17" s="2">
        <v>105494.0</v>
      </c>
      <c r="C17" s="2">
        <v>111824.0</v>
      </c>
      <c r="D17" s="2">
        <v>1182.0</v>
      </c>
      <c r="E17" s="2">
        <v>97752.0</v>
      </c>
      <c r="F17" s="2">
        <v>105593.0</v>
      </c>
      <c r="G17" s="2">
        <v>98934.0</v>
      </c>
      <c r="H17" s="2">
        <v>106775.0</v>
      </c>
      <c r="I17" s="16">
        <v>88.0</v>
      </c>
      <c r="J17" s="16">
        <v>95.0</v>
      </c>
      <c r="K17" s="2">
        <v>85.0</v>
      </c>
      <c r="L17" s="2">
        <v>95.0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2023.0</v>
      </c>
      <c r="B18" s="2">
        <v>90412.90594059405</v>
      </c>
      <c r="C18" s="2">
        <v>95879.72229829206</v>
      </c>
      <c r="D18" s="2">
        <v>985.9258732936639</v>
      </c>
      <c r="E18" s="2">
        <v>84809.1557101201</v>
      </c>
      <c r="F18" s="2">
        <v>92176.04448824214</v>
      </c>
      <c r="G18" s="2">
        <v>85795.08158341376</v>
      </c>
      <c r="H18" s="2">
        <v>93161.97036153582</v>
      </c>
      <c r="I18" s="16">
        <v>89.4819879812502</v>
      </c>
      <c r="J18" s="16">
        <v>97.1654570209319</v>
      </c>
      <c r="K18" s="2">
        <v>85.0</v>
      </c>
      <c r="L18" s="2">
        <v>95.0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16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16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16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16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16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16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104</v>
      </c>
      <c r="B1" s="1" t="s">
        <v>105</v>
      </c>
    </row>
    <row r="2">
      <c r="A2" s="1">
        <v>2012.0</v>
      </c>
      <c r="B2" s="1">
        <v>24165.0</v>
      </c>
    </row>
    <row r="3">
      <c r="A3" s="1">
        <v>2013.0</v>
      </c>
    </row>
    <row r="4">
      <c r="A4" s="1">
        <v>2014.0</v>
      </c>
      <c r="B4" s="1">
        <v>27989.0</v>
      </c>
    </row>
    <row r="5">
      <c r="A5" s="1">
        <v>2015.0</v>
      </c>
    </row>
    <row r="6">
      <c r="A6" s="1">
        <v>2016.0</v>
      </c>
    </row>
    <row r="7">
      <c r="A7" s="1">
        <v>2017.0</v>
      </c>
    </row>
    <row r="8">
      <c r="A8" s="1">
        <v>2018.0</v>
      </c>
      <c r="B8" s="1">
        <v>46501.0</v>
      </c>
    </row>
    <row r="9">
      <c r="A9" s="1">
        <v>2019.0</v>
      </c>
      <c r="B9" s="1">
        <v>46424.0</v>
      </c>
    </row>
    <row r="10">
      <c r="A10" s="1">
        <v>2020.0</v>
      </c>
      <c r="B10" s="1">
        <v>40393.0</v>
      </c>
    </row>
    <row r="11">
      <c r="A11" s="1">
        <v>2021.0</v>
      </c>
    </row>
    <row r="12">
      <c r="A12" s="1">
        <v>2022.0</v>
      </c>
      <c r="B12" s="1">
        <v>62931.0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29"/>
    <col customWidth="1" min="2" max="2" width="26.86"/>
    <col customWidth="1" min="3" max="3" width="21.0"/>
    <col customWidth="1" min="4" max="4" width="25.29"/>
    <col customWidth="1" min="5" max="5" width="24.71"/>
    <col customWidth="1" min="6" max="6" width="22.29"/>
    <col customWidth="1" min="7" max="7" width="29.57"/>
    <col customWidth="1" min="8" max="8" width="26.57"/>
    <col customWidth="1" min="9" max="9" width="18.71"/>
    <col customWidth="1" min="10" max="10" width="17.71"/>
    <col customWidth="1" min="11" max="11" width="28.71"/>
    <col customWidth="1" min="12" max="12" width="25.29"/>
    <col customWidth="1" min="13" max="13" width="13.86"/>
    <col customWidth="1" min="14" max="14" width="13.43"/>
    <col customWidth="1" min="15" max="16" width="8.71"/>
    <col customWidth="1" min="17" max="17" width="13.14"/>
    <col customWidth="1" min="18" max="18" width="20.86"/>
    <col customWidth="1" min="19" max="19" width="15.0"/>
    <col customWidth="1" min="20" max="21" width="8.71"/>
    <col customWidth="1" min="22" max="22" width="26.14"/>
    <col customWidth="1" min="23" max="23" width="19.14"/>
    <col customWidth="1" min="24" max="24" width="27.43"/>
    <col customWidth="1" min="25" max="25" width="19.86"/>
    <col customWidth="1" min="26" max="26" width="12.14"/>
    <col customWidth="1" min="27" max="27" width="16.71"/>
  </cols>
  <sheetData>
    <row r="1">
      <c r="A1" s="13"/>
      <c r="B1" s="13" t="s">
        <v>106</v>
      </c>
      <c r="L1" s="13" t="s">
        <v>107</v>
      </c>
      <c r="W1" s="13" t="s">
        <v>108</v>
      </c>
      <c r="Z1" s="13" t="s">
        <v>109</v>
      </c>
    </row>
    <row r="2">
      <c r="A2" s="13" t="s">
        <v>110</v>
      </c>
      <c r="B2" s="13" t="s">
        <v>111</v>
      </c>
      <c r="C2" s="13" t="s">
        <v>112</v>
      </c>
      <c r="D2" s="13" t="s">
        <v>113</v>
      </c>
      <c r="E2" s="13" t="s">
        <v>114</v>
      </c>
      <c r="F2" s="13" t="s">
        <v>115</v>
      </c>
      <c r="G2" s="13" t="s">
        <v>116</v>
      </c>
      <c r="H2" s="13" t="s">
        <v>117</v>
      </c>
      <c r="I2" s="13" t="s">
        <v>118</v>
      </c>
      <c r="J2" s="13" t="s">
        <v>119</v>
      </c>
      <c r="K2" s="13" t="s">
        <v>120</v>
      </c>
      <c r="L2" s="13" t="s">
        <v>121</v>
      </c>
      <c r="M2" s="13" t="s">
        <v>122</v>
      </c>
      <c r="N2" s="13" t="s">
        <v>123</v>
      </c>
      <c r="O2" s="13" t="s">
        <v>124</v>
      </c>
      <c r="P2" s="13" t="s">
        <v>125</v>
      </c>
      <c r="Q2" s="13" t="s">
        <v>126</v>
      </c>
      <c r="R2" s="13" t="s">
        <v>127</v>
      </c>
      <c r="S2" s="13" t="s">
        <v>128</v>
      </c>
      <c r="T2" s="13" t="s">
        <v>129</v>
      </c>
      <c r="U2" s="13" t="s">
        <v>130</v>
      </c>
      <c r="V2" s="13" t="s">
        <v>131</v>
      </c>
      <c r="W2" s="13" t="s">
        <v>132</v>
      </c>
      <c r="X2" s="13" t="s">
        <v>133</v>
      </c>
      <c r="Y2" s="13" t="s">
        <v>134</v>
      </c>
      <c r="Z2" s="13" t="s">
        <v>135</v>
      </c>
      <c r="AA2" s="13" t="s">
        <v>136</v>
      </c>
    </row>
    <row r="3">
      <c r="A3" s="1">
        <v>2009.0</v>
      </c>
      <c r="B3" s="2">
        <v>327959.0</v>
      </c>
      <c r="C3" s="2">
        <v>315055.0</v>
      </c>
      <c r="D3" s="2">
        <v>12904.0</v>
      </c>
      <c r="E3" s="2">
        <v>102420.0</v>
      </c>
      <c r="F3" s="2">
        <v>89992.0</v>
      </c>
      <c r="G3" s="2">
        <v>12428.0</v>
      </c>
      <c r="H3" s="2">
        <v>150871.0</v>
      </c>
      <c r="I3" s="2">
        <v>150395.0</v>
      </c>
      <c r="J3" s="2">
        <v>476.0</v>
      </c>
      <c r="K3" s="2">
        <v>74668.0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>
        <v>2010.0</v>
      </c>
      <c r="B4" s="2">
        <v>321734.0</v>
      </c>
      <c r="C4" s="2">
        <v>312884.0</v>
      </c>
      <c r="D4" s="2">
        <v>8850.0</v>
      </c>
      <c r="E4" s="2">
        <v>99309.0</v>
      </c>
      <c r="F4" s="2">
        <v>93049.0</v>
      </c>
      <c r="G4" s="2">
        <v>6260.0</v>
      </c>
      <c r="H4" s="2">
        <v>145770.0</v>
      </c>
      <c r="I4" s="2">
        <v>143180.0</v>
      </c>
      <c r="J4" s="2">
        <v>2590.0</v>
      </c>
      <c r="K4" s="2">
        <v>76655.0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>
        <v>2011.0</v>
      </c>
      <c r="B5" s="2">
        <v>333619.0</v>
      </c>
      <c r="C5" s="2">
        <v>316322.0</v>
      </c>
      <c r="D5" s="2">
        <v>17297.0</v>
      </c>
      <c r="E5" s="2">
        <v>106607.0</v>
      </c>
      <c r="F5" s="2">
        <v>99513.0</v>
      </c>
      <c r="G5" s="2">
        <v>7094.0</v>
      </c>
      <c r="H5" s="2">
        <v>159240.0</v>
      </c>
      <c r="I5" s="2">
        <v>149037.0</v>
      </c>
      <c r="J5" s="2">
        <v>10203.0</v>
      </c>
      <c r="K5" s="2">
        <v>67772.0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>
        <v>2012.0</v>
      </c>
      <c r="B6" s="2">
        <v>309540.0</v>
      </c>
      <c r="C6" s="2">
        <v>301476.0</v>
      </c>
      <c r="D6" s="2">
        <v>8064.0</v>
      </c>
      <c r="E6" s="2">
        <v>93561.0</v>
      </c>
      <c r="F6" s="2">
        <v>89135.0</v>
      </c>
      <c r="G6" s="2">
        <v>4426.0</v>
      </c>
      <c r="H6" s="2">
        <v>147879.0</v>
      </c>
      <c r="I6" s="2">
        <v>144241.0</v>
      </c>
      <c r="J6" s="2">
        <v>3638.0</v>
      </c>
      <c r="K6" s="2">
        <v>68100.0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>
        <v>2013.0</v>
      </c>
      <c r="B7" s="2">
        <v>316911.0</v>
      </c>
      <c r="C7" s="2">
        <v>304422.0</v>
      </c>
      <c r="D7" s="2">
        <v>12489.0</v>
      </c>
      <c r="E7" s="2">
        <v>92520.0</v>
      </c>
      <c r="F7" s="2">
        <v>87690.0</v>
      </c>
      <c r="G7" s="2">
        <v>4830.0</v>
      </c>
      <c r="H7" s="2">
        <v>159639.0</v>
      </c>
      <c r="I7" s="2">
        <v>151980.0</v>
      </c>
      <c r="J7" s="2">
        <v>7659.0</v>
      </c>
      <c r="K7" s="2">
        <v>64752.0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>
        <v>2014.0</v>
      </c>
      <c r="B8" s="2">
        <v>327331.0</v>
      </c>
      <c r="C8" s="2">
        <v>320000.0</v>
      </c>
      <c r="D8" s="2">
        <v>7331.0</v>
      </c>
      <c r="E8" s="2">
        <v>92630.0</v>
      </c>
      <c r="F8" s="2">
        <v>91000.0</v>
      </c>
      <c r="G8" s="2">
        <v>1630.0</v>
      </c>
      <c r="H8" s="2">
        <v>146701.0</v>
      </c>
      <c r="I8" s="2">
        <v>141000.0</v>
      </c>
      <c r="J8" s="2">
        <v>5701.0</v>
      </c>
      <c r="K8" s="2">
        <v>88000.0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>
        <v>2015.0</v>
      </c>
      <c r="B9" s="2">
        <v>346767.0</v>
      </c>
      <c r="C9" s="2">
        <v>326500.0</v>
      </c>
      <c r="D9" s="2">
        <v>20267.0</v>
      </c>
      <c r="E9" s="2">
        <v>99938.0</v>
      </c>
      <c r="F9" s="2">
        <v>94000.0</v>
      </c>
      <c r="G9" s="2">
        <v>5938.0</v>
      </c>
      <c r="H9" s="2">
        <v>180329.0</v>
      </c>
      <c r="I9" s="2">
        <v>166000.0</v>
      </c>
      <c r="J9" s="2">
        <v>14329.0</v>
      </c>
      <c r="K9" s="2">
        <v>66500.0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>
        <v>2016.0</v>
      </c>
      <c r="B10" s="2">
        <v>372118.0</v>
      </c>
      <c r="C10" s="2">
        <v>291845.0</v>
      </c>
      <c r="D10" s="2">
        <v>80273.0</v>
      </c>
      <c r="E10" s="2">
        <v>70473.0</v>
      </c>
      <c r="F10" s="2">
        <v>69791.0</v>
      </c>
      <c r="G10" s="2">
        <v>682.0</v>
      </c>
      <c r="H10" s="2">
        <v>265392.0</v>
      </c>
      <c r="I10" s="2">
        <v>185801.0</v>
      </c>
      <c r="J10" s="2">
        <v>79591.0</v>
      </c>
      <c r="K10" s="2">
        <v>36253.0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>
        <v>2017.0</v>
      </c>
      <c r="B11" s="2">
        <v>436159.55</v>
      </c>
      <c r="C11" s="2">
        <v>334111.55</v>
      </c>
      <c r="D11" s="2">
        <v>102048.0</v>
      </c>
      <c r="E11" s="2">
        <v>87516.55</v>
      </c>
      <c r="F11" s="2">
        <v>86908.55</v>
      </c>
      <c r="G11" s="2">
        <v>608.0</v>
      </c>
      <c r="H11" s="2">
        <v>314529.0</v>
      </c>
      <c r="I11" s="2">
        <v>213089.0</v>
      </c>
      <c r="J11" s="2">
        <v>101440.0</v>
      </c>
      <c r="K11" s="2">
        <v>34114.0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>
        <v>2018.0</v>
      </c>
      <c r="B12" s="2">
        <v>526396.7226</v>
      </c>
      <c r="C12" s="2">
        <v>432752.0426</v>
      </c>
      <c r="D12" s="2">
        <v>93644.68</v>
      </c>
      <c r="E12" s="2">
        <v>112367.31</v>
      </c>
      <c r="F12" s="2">
        <v>93634.68</v>
      </c>
      <c r="G12" s="2">
        <v>18732.63</v>
      </c>
      <c r="H12" s="2">
        <v>383902.73</v>
      </c>
      <c r="I12" s="2">
        <v>308990.68</v>
      </c>
      <c r="J12" s="2">
        <v>74912.05</v>
      </c>
      <c r="K12" s="2">
        <v>30126.6826</v>
      </c>
      <c r="L12" s="2">
        <v>105152.0</v>
      </c>
      <c r="M12" s="2">
        <v>37599.33</v>
      </c>
      <c r="N12" s="2">
        <v>10980.0</v>
      </c>
      <c r="O12" s="2">
        <v>93644.68000000001</v>
      </c>
      <c r="P12" s="2">
        <v>42366.7</v>
      </c>
      <c r="Q12" s="2">
        <v>34425.94</v>
      </c>
      <c r="R12" s="2"/>
      <c r="S12" s="2"/>
      <c r="T12" s="2">
        <v>202228.07259999996</v>
      </c>
      <c r="U12" s="2"/>
      <c r="V12" s="2"/>
      <c r="W12" s="2"/>
      <c r="X12" s="2"/>
      <c r="Y12" s="2"/>
      <c r="Z12" s="2"/>
      <c r="AA12" s="2"/>
    </row>
    <row r="13">
      <c r="A13" s="1">
        <v>2019.0</v>
      </c>
      <c r="B13" s="2">
        <v>580977.0</v>
      </c>
      <c r="C13" s="2">
        <v>505723.0</v>
      </c>
      <c r="D13" s="2">
        <v>75254.0</v>
      </c>
      <c r="E13" s="2">
        <v>146309.0</v>
      </c>
      <c r="F13" s="2">
        <v>117246.0</v>
      </c>
      <c r="G13" s="2">
        <v>29063.0</v>
      </c>
      <c r="H13" s="2">
        <v>379386.0</v>
      </c>
      <c r="I13" s="2">
        <v>333195.0</v>
      </c>
      <c r="J13" s="2">
        <v>46191.0</v>
      </c>
      <c r="K13" s="2">
        <v>55282.0</v>
      </c>
      <c r="L13" s="2">
        <v>106979.0</v>
      </c>
      <c r="M13" s="2">
        <v>45647.0</v>
      </c>
      <c r="N13" s="2">
        <v>12087.0</v>
      </c>
      <c r="O13" s="2">
        <v>90614.0</v>
      </c>
      <c r="P13" s="2">
        <v>48622.0</v>
      </c>
      <c r="Q13" s="2">
        <v>32459.0</v>
      </c>
      <c r="R13" s="2">
        <v>10537.5</v>
      </c>
      <c r="S13" s="2"/>
      <c r="T13" s="2">
        <v>234031.15760000015</v>
      </c>
      <c r="U13" s="2"/>
      <c r="V13" s="2"/>
      <c r="W13" s="2">
        <v>464438.0</v>
      </c>
      <c r="X13" s="2">
        <v>103606.0</v>
      </c>
      <c r="Y13" s="2">
        <v>12940.0</v>
      </c>
      <c r="Z13" s="2">
        <v>226232.0</v>
      </c>
      <c r="AA13" s="2">
        <v>354746.0</v>
      </c>
    </row>
    <row r="14">
      <c r="A14" s="1">
        <v>2020.0</v>
      </c>
      <c r="B14" s="2">
        <v>557221.32</v>
      </c>
      <c r="C14" s="2">
        <v>507451.19</v>
      </c>
      <c r="D14" s="2">
        <v>49770.12999999995</v>
      </c>
      <c r="E14" s="2">
        <v>103931.79</v>
      </c>
      <c r="F14" s="2">
        <v>98061.0</v>
      </c>
      <c r="G14" s="2">
        <v>5870.79</v>
      </c>
      <c r="H14" s="2">
        <v>304844.53</v>
      </c>
      <c r="I14" s="2">
        <v>260945.19</v>
      </c>
      <c r="J14" s="2">
        <v>43899.34</v>
      </c>
      <c r="K14" s="2">
        <v>148445.0</v>
      </c>
      <c r="L14" s="2">
        <v>39860.84</v>
      </c>
      <c r="M14" s="2">
        <v>44380.0</v>
      </c>
      <c r="N14" s="2">
        <v>14461.0</v>
      </c>
      <c r="O14" s="2">
        <v>78474.0</v>
      </c>
      <c r="P14" s="2">
        <v>41455.8</v>
      </c>
      <c r="Q14" s="2">
        <v>30617.0</v>
      </c>
      <c r="R14" s="2">
        <v>90164.0</v>
      </c>
      <c r="S14" s="2">
        <v>17645.0</v>
      </c>
      <c r="T14" s="2">
        <v>200163.76</v>
      </c>
      <c r="U14" s="2">
        <v>18513.44</v>
      </c>
      <c r="V14" s="2">
        <v>21515.22</v>
      </c>
      <c r="W14" s="2">
        <v>364669.16</v>
      </c>
      <c r="X14" s="2">
        <v>177893.83</v>
      </c>
      <c r="Y14" s="2">
        <v>14659.0</v>
      </c>
      <c r="Z14" s="2">
        <v>210337.0</v>
      </c>
      <c r="AA14" s="2">
        <v>342640.0</v>
      </c>
    </row>
    <row r="15">
      <c r="A15" s="1">
        <v>2021.0</v>
      </c>
      <c r="B15" s="2">
        <v>466941.17</v>
      </c>
      <c r="C15" s="2">
        <v>433990.0</v>
      </c>
      <c r="D15" s="2">
        <v>32951.169999999984</v>
      </c>
      <c r="E15" s="2">
        <v>148574.59</v>
      </c>
      <c r="F15" s="2">
        <v>115950.72</v>
      </c>
      <c r="G15" s="2">
        <v>32623.87</v>
      </c>
      <c r="H15" s="2">
        <v>223236.15999999997</v>
      </c>
      <c r="I15" s="2">
        <v>222908.86</v>
      </c>
      <c r="J15" s="2">
        <v>327.3</v>
      </c>
      <c r="K15" s="2">
        <v>95130.42</v>
      </c>
      <c r="L15" s="2"/>
      <c r="M15" s="2">
        <v>39951.0</v>
      </c>
      <c r="N15" s="2">
        <v>15001.0</v>
      </c>
      <c r="O15" s="2">
        <v>32951.0</v>
      </c>
      <c r="P15" s="2">
        <v>68012.73</v>
      </c>
      <c r="Q15" s="2">
        <v>30621.47</v>
      </c>
      <c r="R15" s="2">
        <v>65373.0</v>
      </c>
      <c r="S15" s="2">
        <v>23569.64</v>
      </c>
      <c r="T15" s="2">
        <v>191461.16000000003</v>
      </c>
      <c r="U15" s="2"/>
      <c r="V15" s="2"/>
      <c r="W15" s="2">
        <v>336429.00543</v>
      </c>
      <c r="X15" s="2">
        <v>108987.08937</v>
      </c>
      <c r="Y15" s="2">
        <v>21528.1518</v>
      </c>
      <c r="Z15" s="2">
        <v>148700.88</v>
      </c>
      <c r="AA15" s="2">
        <v>318240.3</v>
      </c>
    </row>
    <row r="16">
      <c r="A16" s="1">
        <v>2022.0</v>
      </c>
      <c r="B16" s="2">
        <v>389908.28189999994</v>
      </c>
      <c r="C16" s="2">
        <v>348826.0068999999</v>
      </c>
      <c r="D16" s="2">
        <v>41082.27500000002</v>
      </c>
      <c r="E16" s="2">
        <v>142961.175</v>
      </c>
      <c r="F16" s="2">
        <v>101889.055</v>
      </c>
      <c r="G16" s="2">
        <v>41072.12</v>
      </c>
      <c r="H16" s="2">
        <v>220500.45889999988</v>
      </c>
      <c r="I16" s="2">
        <v>220490.30389999988</v>
      </c>
      <c r="J16" s="2">
        <v>10.155</v>
      </c>
      <c r="K16" s="2">
        <v>26446.647999999997</v>
      </c>
      <c r="L16" s="2"/>
      <c r="M16" s="2">
        <v>40166.12</v>
      </c>
      <c r="N16" s="2">
        <v>17317.56</v>
      </c>
      <c r="O16" s="2">
        <v>41082.28</v>
      </c>
      <c r="P16" s="2">
        <v>62383.8209</v>
      </c>
      <c r="Q16" s="2">
        <v>31353.509000000002</v>
      </c>
      <c r="R16" s="2">
        <v>0.0</v>
      </c>
      <c r="S16" s="2">
        <v>28906.964631565224</v>
      </c>
      <c r="T16" s="2">
        <v>168698.0</v>
      </c>
      <c r="U16" s="2"/>
      <c r="V16" s="2"/>
      <c r="W16" s="2">
        <v>298539.07222</v>
      </c>
      <c r="X16" s="2">
        <v>60368.03758999999</v>
      </c>
      <c r="Y16" s="2">
        <v>31001.17209</v>
      </c>
      <c r="Z16" s="2">
        <v>131304.0249</v>
      </c>
      <c r="AA16" s="2">
        <v>258604.25699999998</v>
      </c>
    </row>
    <row r="21" ht="15.75" customHeight="1"/>
    <row r="22" ht="15.75" customHeight="1"/>
    <row r="23" ht="15.75" customHeight="1">
      <c r="S23" s="1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K1"/>
    <mergeCell ref="L1:V1"/>
    <mergeCell ref="W1:Y1"/>
    <mergeCell ref="Z1:AA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2023-09-06T21:24:52Z</dcterms:created>
  <dc:creator>Kevin Lydon</dc:creator>
</cp:coreProperties>
</file>